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A" sheetId="1" r:id="rId4"/>
    <sheet state="visible" name="PLGK" sheetId="2" r:id="rId5"/>
    <sheet state="visible" name="Bobot" sheetId="3" r:id="rId6"/>
    <sheet state="visible" name="ROK OP" sheetId="4" r:id="rId7"/>
    <sheet state="visible" name="Jan" sheetId="5" r:id="rId8"/>
    <sheet state="visible" name="Peb" sheetId="6" r:id="rId9"/>
    <sheet state="visible" name="Mar" sheetId="7" r:id="rId10"/>
    <sheet state="visible" name="Apr" sheetId="8" r:id="rId11"/>
    <sheet state="visible" name="Mei" sheetId="9" r:id="rId12"/>
    <sheet state="visible" name="Juni" sheetId="10" r:id="rId13"/>
    <sheet state="visible" name="Juli" sheetId="11" r:id="rId14"/>
    <sheet state="visible" name="Agustus" sheetId="12" r:id="rId15"/>
    <sheet state="visible" name="September" sheetId="13" r:id="rId16"/>
    <sheet state="visible" name="Oktober" sheetId="14" r:id="rId17"/>
  </sheets>
  <definedNames/>
  <calcPr/>
  <extLst>
    <ext uri="GoogleSheetsCustomDataVersion2">
      <go:sheetsCustomData xmlns:go="http://customooxmlschemas.google.com/" r:id="rId18" roundtripDataChecksum="WyxdJ/3y9J8l6hbFnWuMCXbjmIL9slt+u0ogJV8r6wo="/>
    </ext>
  </extLst>
</workbook>
</file>

<file path=xl/sharedStrings.xml><?xml version="1.0" encoding="utf-8"?>
<sst xmlns="http://schemas.openxmlformats.org/spreadsheetml/2006/main" count="1169" uniqueCount="220">
  <si>
    <t xml:space="preserve">RENCANA KERJA DAN ANGGARAN </t>
  </si>
  <si>
    <t>Formulir RKA - SKPD 2.2.1</t>
  </si>
  <si>
    <t>SATUAN KERJA PERANGKAT DAERAH</t>
  </si>
  <si>
    <t>PEMERINTAH PROVINSI BALI</t>
  </si>
  <si>
    <t>TAHUN ANGGARAN 2026</t>
  </si>
  <si>
    <t xml:space="preserve"> URUSAN PEMERINTAH</t>
  </si>
  <si>
    <t>:</t>
  </si>
  <si>
    <t>2 - URUSAN PEMERINTAHAN WAJIB YANG TIDAK BERKAITAN DENGAN PELAYANAN DASAR</t>
  </si>
  <si>
    <t xml:space="preserve"> ORGANISASI</t>
  </si>
  <si>
    <t>2.16.2.20.2.21.02.0000 - Dinas Komunikasi, Informatika dan Statistik</t>
  </si>
  <si>
    <t xml:space="preserve"> Program</t>
  </si>
  <si>
    <t>2.21.02 - PROGRAM PENYELENGGARAAN PERSANDIAN UNTUK PENGAMANAN INFORMASI</t>
  </si>
  <si>
    <t xml:space="preserve"> Kegiatan</t>
  </si>
  <si>
    <t>2.21.02.1.02 - PENETAPAN POLA HUBUNGAN KOMUNIKASI SANDI ANTAR PERANGKAT DAERAH PROVINSI</t>
  </si>
  <si>
    <t xml:space="preserve"> Lokasi Kegiatan</t>
  </si>
  <si>
    <t>Semua Kabupaten / Kota, Semua Kecamatan, Semua Kelurahan</t>
  </si>
  <si>
    <t>Jumlah Tahun n-1</t>
  </si>
  <si>
    <t>Rp0,00</t>
  </si>
  <si>
    <t xml:space="preserve">Jumlah Tahun n </t>
  </si>
  <si>
    <t>Rp94.371.800,00</t>
  </si>
  <si>
    <t xml:space="preserve">Jumlah Tahun n + 1 </t>
  </si>
  <si>
    <t>Rp208.604.000,00</t>
  </si>
  <si>
    <t>Indikator &amp; Tolok Ukur Kinerja Belanja Langsung</t>
  </si>
  <si>
    <t xml:space="preserve">Indikator </t>
  </si>
  <si>
    <t>Tolok Ukur Kegiatan</t>
  </si>
  <si>
    <t>Target Kinerja</t>
  </si>
  <si>
    <t xml:space="preserve"> Capaian Program</t>
  </si>
  <si>
    <t>Nilai Indeks KAMI</t>
  </si>
  <si>
    <t>551 Nilai</t>
  </si>
  <si>
    <t xml:space="preserve"> Masukan</t>
  </si>
  <si>
    <t>Dana Yang Dibutuhkan</t>
  </si>
  <si>
    <t xml:space="preserve"> Keluaran</t>
  </si>
  <si>
    <t>Jumlah Operasionalisasi Layanan Keamanan Informasi dan Persandian Pemerintah Daerah berdasarkan pemetaan
pola hubungan komunikasi sandi pemerintah Daerah.</t>
  </si>
  <si>
    <t>1 Kegiatan</t>
  </si>
  <si>
    <t>Printer</t>
  </si>
  <si>
    <t>10 unit</t>
  </si>
  <si>
    <t>Laptop</t>
  </si>
  <si>
    <t>13 unit</t>
  </si>
  <si>
    <t>AC</t>
  </si>
  <si>
    <t>15 unit</t>
  </si>
  <si>
    <t xml:space="preserve"> Hasil</t>
  </si>
  <si>
    <t>Jumlah entitas jaring komunikasi Pemerintah Provinsi Bali yang terbangun</t>
  </si>
  <si>
    <t>29 Perangkat Daerah</t>
  </si>
  <si>
    <t xml:space="preserve"> Kelompok Sasaran Kegiatan :</t>
  </si>
  <si>
    <t>Rincian Anggaran Belanja Langsung</t>
  </si>
  <si>
    <t>Menurut Program dan Per Kegiatan Satuan Kerja Perangkat Daerah</t>
  </si>
  <si>
    <t>Kode</t>
  </si>
  <si>
    <t>Uraian</t>
  </si>
  <si>
    <t>Rincian Perhitungan</t>
  </si>
  <si>
    <t>Jumlah</t>
  </si>
  <si>
    <t>Rekening</t>
  </si>
  <si>
    <t>Volume</t>
  </si>
  <si>
    <t>Satuan</t>
  </si>
  <si>
    <t>Harga Satuan</t>
  </si>
  <si>
    <t>6 = ( 3 x 5 )</t>
  </si>
  <si>
    <t>BELANJA DAERAH</t>
  </si>
  <si>
    <t>5.1</t>
  </si>
  <si>
    <t>BELANJA OPERASI</t>
  </si>
  <si>
    <t xml:space="preserve"> 5.2.2.</t>
  </si>
  <si>
    <t xml:space="preserve"> Belanja Barang dan Jasa</t>
  </si>
  <si>
    <t xml:space="preserve"> 5.2.2.01</t>
  </si>
  <si>
    <t>Belanja Bahan Pakai Habis</t>
  </si>
  <si>
    <t>5.1.02.01.01.0024</t>
  </si>
  <si>
    <t>Belanja Alat/Bahan untuk Kegiatan Kantor-Alat Tulis Kantor</t>
  </si>
  <si>
    <t>-</t>
  </si>
  <si>
    <t>Alat Tulis Kantor
Spesifikasi : Stof Map Folio</t>
  </si>
  <si>
    <t>Buah</t>
  </si>
  <si>
    <t>Alat Tulis Kantor
Spesifikasi : Trigonal Clip No. 5 Atom</t>
  </si>
  <si>
    <t>Lusin</t>
  </si>
  <si>
    <t>Alat Tulis Kantor
Spesifikasi : Box File Jumbo Bantex</t>
  </si>
  <si>
    <t>5.1.02.01.01.0025</t>
  </si>
  <si>
    <t>Belanja Alat/Bahan untuk Kegiatan Kantor- Kertas dan Cover</t>
  </si>
  <si>
    <t>Kertas dan Cover
Spesifikasi : Kertas HVS A4 70 gr</t>
  </si>
  <si>
    <t>Rim</t>
  </si>
  <si>
    <t>Kertas dan Cover
Spesifikasi : Kertas HVS F4 70 gr</t>
  </si>
  <si>
    <t>5.1.02.01.01.0026</t>
  </si>
  <si>
    <t>Belanja Alat/Bahan untuk Kegiatan Kantor- Bahan Cetak</t>
  </si>
  <si>
    <t>Foto Copy
Spesifikasi : Foto copy Hitam Putih-HVS
A4/F4</t>
  </si>
  <si>
    <t>Lembar</t>
  </si>
  <si>
    <t>5.1.02.01.01.0027</t>
  </si>
  <si>
    <t>Belanja Alat/Bahan untuk Kegiatan Kantor-Benda Pos</t>
  </si>
  <si>
    <t>Materai
Spesifikasi: Materai 10.000</t>
  </si>
  <si>
    <t>5.1.02.04</t>
  </si>
  <si>
    <t>Belanja Perjalanan Dinas</t>
  </si>
  <si>
    <t>5.1.02.04.01</t>
  </si>
  <si>
    <t>Belanja Perjalanan Dinas Dalam Negeri</t>
  </si>
  <si>
    <t>5.1.02.04.01.0001</t>
  </si>
  <si>
    <t>Belanja Perjalanan Dinas Biasa</t>
  </si>
  <si>
    <t>Penginapan Dalam Negeri di- D.K.I. JAKARTA
Spesifikasi: PEJABAT ESELON III / GOLONGAN IV</t>
  </si>
  <si>
    <t>Orang / Hari</t>
  </si>
  <si>
    <t>Taxi dari/ke Bandara - Perjalanan Dinas Dalam Negeri
Spesifikasi: BALI</t>
  </si>
  <si>
    <t>Orang / Kali</t>
  </si>
  <si>
    <t>Taxi dari/ke Bandara - Perjalanan Dinas Dalam Negeri
Spesifikasi: D.K.I. JAKARTA</t>
  </si>
  <si>
    <t>Satuan Biaya Tiket Dalam Negeri
Spesifikasi : Denpasar - Jakarta</t>
  </si>
  <si>
    <t>Orang /PP</t>
  </si>
  <si>
    <t>Uang Harian Perjalanan Dinas Luar Kota/Luar Daerah
Spesifikasi: D.K.I. JAKARTA</t>
  </si>
  <si>
    <t xml:space="preserve">5.2 </t>
  </si>
  <si>
    <t>Belanja Modal</t>
  </si>
  <si>
    <t>5.2.02</t>
  </si>
  <si>
    <t>Belanja Modal Perapatan dan Mesin</t>
  </si>
  <si>
    <t>5.2.02.05</t>
  </si>
  <si>
    <t>Belanja Modal Alat Kantor dan Rumah Tangga</t>
  </si>
  <si>
    <t>5.2.02.05.001</t>
  </si>
  <si>
    <t>Belanja Modal Alat Kantor</t>
  </si>
  <si>
    <t>5.2.02.05.001.00005</t>
  </si>
  <si>
    <t>Belanja Modal Alat Kantor Lainnya</t>
  </si>
  <si>
    <t>Peralatan Studio Video dan Film
Spesifikasi : Kamera Foto (SONY A7 IV
BODY + LENSA ZOOM 28-70MM)</t>
  </si>
  <si>
    <t>Unit</t>
  </si>
  <si>
    <t>5.2.02.05.002</t>
  </si>
  <si>
    <t>Belanja Modal Alat Rumah Tangga</t>
  </si>
  <si>
    <t>5.2.02.05.002.000
06</t>
  </si>
  <si>
    <t>Belanja Modal Alat Rumah Tangga Lainnya (Home Use)</t>
  </si>
  <si>
    <t>Televisi
Spesifikasi : Smart TV 70 Inch min. UHD 4K,
Garansi Min. 1 Tahun</t>
  </si>
  <si>
    <t>Rencana Penarikan Dana per Triwulan</t>
  </si>
  <si>
    <t xml:space="preserve">Denpasar, </t>
  </si>
  <si>
    <t>Triwulan I</t>
  </si>
  <si>
    <t>Rp.</t>
  </si>
  <si>
    <t>Mengesahkan,</t>
  </si>
  <si>
    <t>Triwulan II</t>
  </si>
  <si>
    <t>Kepala Dinas Komunikasi Informatika dan Statistik</t>
  </si>
  <si>
    <t>Triwulan III</t>
  </si>
  <si>
    <t xml:space="preserve"> Provinsi Bali</t>
  </si>
  <si>
    <t>Triwulan IV</t>
  </si>
  <si>
    <t>GEDE PRAMANA, ST, MT</t>
  </si>
  <si>
    <t>Pembina Utama Madya</t>
  </si>
  <si>
    <t>NIP. 19680531 199703 1 002</t>
  </si>
  <si>
    <t>RENCANA FISIK DAN KEUANGAN</t>
  </si>
  <si>
    <t>Kode Rekening</t>
  </si>
  <si>
    <t>Bulan Januari</t>
  </si>
  <si>
    <t>Bulan Pebruari</t>
  </si>
  <si>
    <t>Bulan Maret</t>
  </si>
  <si>
    <t>Bulan April</t>
  </si>
  <si>
    <t>Bulan Mei</t>
  </si>
  <si>
    <t>Bulan Juni</t>
  </si>
  <si>
    <t>Bulan Juli</t>
  </si>
  <si>
    <t>Bulan Agustus</t>
  </si>
  <si>
    <t>Bulan September</t>
  </si>
  <si>
    <t>Bulan Oktober</t>
  </si>
  <si>
    <t>Bulan Nopember</t>
  </si>
  <si>
    <t>Bulan Desember</t>
  </si>
  <si>
    <t>SISA</t>
  </si>
  <si>
    <t>Rencana</t>
  </si>
  <si>
    <t>Realisasi</t>
  </si>
  <si>
    <t>Bulan Ini</t>
  </si>
  <si>
    <t>s/d Bulan Ini</t>
  </si>
  <si>
    <t>RENCANA OPERASIONAL KEGIATAN (ROK)</t>
  </si>
  <si>
    <t>KEGIATAN PENYUSUNAN, PERENCANAAN, DAN PELAPORAN CAPAIAN KINERJA</t>
  </si>
  <si>
    <t>No</t>
  </si>
  <si>
    <t>BIAYA</t>
  </si>
  <si>
    <t>BULAN</t>
  </si>
  <si>
    <t>JAN</t>
  </si>
  <si>
    <t>PEB</t>
  </si>
  <si>
    <t>MARET</t>
  </si>
  <si>
    <t>APRIL</t>
  </si>
  <si>
    <t>MEI</t>
  </si>
  <si>
    <t>JUNI</t>
  </si>
  <si>
    <t>JULI</t>
  </si>
  <si>
    <t>AGUST</t>
  </si>
  <si>
    <t>SEPT</t>
  </si>
  <si>
    <t>OKT</t>
  </si>
  <si>
    <t>NOV</t>
  </si>
  <si>
    <t>DES</t>
  </si>
  <si>
    <t xml:space="preserve"> Rencanan Anggaran Per Bulan</t>
  </si>
  <si>
    <t xml:space="preserve"> Akumulasi</t>
  </si>
  <si>
    <t xml:space="preserve"> Rencana Per Tri Wulan</t>
  </si>
  <si>
    <t xml:space="preserve"> Prosentase per Bulan (%)</t>
  </si>
  <si>
    <t xml:space="preserve"> Akumulasi Prosentase (%)</t>
  </si>
  <si>
    <t>Fn:C\Pramana\12PemelLGK.xls</t>
  </si>
  <si>
    <t>Mengetahui / Menyetujui</t>
  </si>
  <si>
    <t>Pejabat Pelaksana Teknis Kegiatan</t>
  </si>
  <si>
    <t>Kepala Dinas Komunikasi</t>
  </si>
  <si>
    <t>Informatika dan Statistik Provinsi Bali</t>
  </si>
  <si>
    <t>LAPORAN REALISASI FISIK DAN KEUANGAN</t>
  </si>
  <si>
    <t>APBD PROVINSI BALI TAHUN 2026</t>
  </si>
  <si>
    <t>SKPD</t>
  </si>
  <si>
    <t>PROGRAM</t>
  </si>
  <si>
    <t>SUB UNIT KERJA</t>
  </si>
  <si>
    <t>KEGIATAN</t>
  </si>
  <si>
    <t>SUB BAGIAN</t>
  </si>
  <si>
    <t>PPTK</t>
  </si>
  <si>
    <t>STATUS</t>
  </si>
  <si>
    <t>KODE REKENING</t>
  </si>
  <si>
    <t>URAIAN BELANJA</t>
  </si>
  <si>
    <t>RENCANA KEGIATAN</t>
  </si>
  <si>
    <t>PELAKSANAAN KEGIATAN</t>
  </si>
  <si>
    <t>SALDO</t>
  </si>
  <si>
    <t>VOL</t>
  </si>
  <si>
    <t>SAT</t>
  </si>
  <si>
    <t>LOKASI</t>
  </si>
  <si>
    <t>JML PAKET</t>
  </si>
  <si>
    <t>ANGGARAN</t>
  </si>
  <si>
    <t>KONTRAK SWAKELOLA</t>
  </si>
  <si>
    <t>SISA ANGGARAN</t>
  </si>
  <si>
    <t>PROGRES</t>
  </si>
  <si>
    <t>FISIK</t>
  </si>
  <si>
    <t>KEUANGAN</t>
  </si>
  <si>
    <t>RENC</t>
  </si>
  <si>
    <t>REAL</t>
  </si>
  <si>
    <t>DEV</t>
  </si>
  <si>
    <t>REAL Rp.</t>
  </si>
  <si>
    <t>%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</si>
  <si>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</si>
  <si>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</si>
  <si>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</si>
  <si>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</si>
  <si>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</si>
  <si>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</si>
  <si>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</si>
  <si>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</si>
  <si>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</si>
  <si>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</si>
  <si>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</si>
  <si>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</si>
  <si>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</si>
  <si>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</si>
  <si>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</si>
  <si>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</si>
  <si>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Pejabat Pelaksana Teknik Kegiatan</t>
  </si>
  <si>
    <t>Pembina Tk. I</t>
  </si>
  <si>
    <t>APBD PROVINSI BALI TAHUN 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</si>
</sst>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[$Rp-421]* #,##0.00_);_([$Rp-421]* \(#,##0.00\);_([$Rp-421]* &quot;-&quot;_);_(@_)"/>
    <numFmt numFmtId="165" formatCode="_-* #,##0.00_-;\-* #,##0.00_-;_-* &quot;-&quot;??_-;_-@"/>
    <numFmt numFmtId="166" formatCode="_(* #,##0.00_);_(* \(#,##0.00\);_(* &quot;-&quot;??_);_(@_)"/>
    <numFmt numFmtId="167" formatCode="_(* #,##0_);_(* \(#,##0\);_(* &quot;-&quot;??_);_(@_)"/>
    <numFmt numFmtId="168" formatCode="_([$Rp-421]* #,##0.00_);_([$Rp-421]* \(#,##0.00\);_([$Rp-421]* &quot;-&quot;??_);_(@_)"/>
    <numFmt numFmtId="169" formatCode="_(* #,##0.0_);_(* \(#,##0.0\);_(* &quot;-&quot;??_);_(@_)"/>
  </numFmts>
  <fonts count="3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16.0"/>
      <color theme="1"/>
      <name val="Calibri"/>
    </font>
    <font>
      <b/>
      <sz val="11.0"/>
      <color theme="4"/>
      <name val="Calibri"/>
    </font>
    <font>
      <b/>
      <sz val="11.0"/>
      <color rgb="FF1F497D"/>
      <name val="Calibri"/>
    </font>
    <font>
      <b/>
      <i/>
      <sz val="8.0"/>
      <color theme="1"/>
      <name val="Calibri"/>
    </font>
    <font>
      <b/>
      <sz val="11.0"/>
      <color rgb="FF548DD4"/>
      <name val="Calibri"/>
    </font>
    <font>
      <sz val="11.0"/>
      <color theme="4"/>
      <name val="Calibri"/>
    </font>
    <font>
      <sz val="11.0"/>
      <color rgb="FF548DD4"/>
      <name val="Calibri"/>
    </font>
    <font>
      <b/>
      <sz val="10.0"/>
      <color rgb="FF000000"/>
      <name val="Tahoma"/>
    </font>
    <font>
      <sz val="10.0"/>
      <color theme="1"/>
      <name val="Tahoma"/>
    </font>
    <font>
      <sz val="10.0"/>
      <color rgb="FF000000"/>
      <name val="Tahoma"/>
    </font>
    <font>
      <b/>
      <i/>
      <sz val="8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u/>
      <sz val="11.0"/>
      <color theme="1"/>
      <name val="Arial"/>
    </font>
    <font>
      <sz val="10.0"/>
      <color theme="1"/>
      <name val="Arial"/>
    </font>
    <font>
      <b/>
      <u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5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7" fillId="0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" fillId="0" fontId="4" numFmtId="0" xfId="0" applyAlignment="1" applyBorder="1" applyFont="1">
      <alignment horizontal="center" vertical="center"/>
    </xf>
    <xf borderId="7" fillId="0" fontId="1" numFmtId="0" xfId="0" applyBorder="1" applyFont="1"/>
    <xf borderId="8" fillId="0" fontId="1" numFmtId="0" xfId="0" applyBorder="1" applyFont="1"/>
    <xf borderId="10" fillId="0" fontId="1" numFmtId="0" xfId="0" applyBorder="1" applyFont="1"/>
    <xf borderId="7" fillId="0" fontId="4" numFmtId="0" xfId="0" applyAlignment="1" applyBorder="1" applyFont="1">
      <alignment horizontal="center" vertical="center"/>
    </xf>
    <xf borderId="11" fillId="0" fontId="3" numFmtId="0" xfId="0" applyBorder="1" applyFont="1"/>
    <xf borderId="1" fillId="0" fontId="5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0" fontId="6" numFmtId="0" xfId="0" applyAlignment="1" applyBorder="1" applyFont="1">
      <alignment horizontal="left" readingOrder="0" vertical="center"/>
    </xf>
    <xf borderId="3" fillId="0" fontId="3" numFmtId="0" xfId="0" applyBorder="1" applyFont="1"/>
    <xf borderId="7" fillId="0" fontId="5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8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0" fillId="0" fontId="1" numFmtId="164" xfId="0" applyAlignment="1" applyFont="1" applyNumberFormat="1">
      <alignment horizontal="left" readingOrder="0" vertical="center"/>
    </xf>
    <xf borderId="10" fillId="0" fontId="1" numFmtId="0" xfId="0" applyAlignment="1" applyBorder="1" applyFont="1">
      <alignment vertical="center"/>
    </xf>
    <xf borderId="12" fillId="0" fontId="4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3" fillId="0" fontId="4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left" readingOrder="0" vertical="center"/>
    </xf>
    <xf borderId="1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horizontal="left" readingOrder="0" vertical="center"/>
    </xf>
    <xf borderId="7" fillId="0" fontId="3" numFmtId="0" xfId="0" applyBorder="1" applyFont="1"/>
    <xf borderId="10" fillId="0" fontId="3" numFmtId="0" xfId="0" applyBorder="1" applyFont="1"/>
    <xf borderId="15" fillId="0" fontId="1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5" fillId="0" fontId="1" numFmtId="9" xfId="0" applyAlignment="1" applyBorder="1" applyFont="1" applyNumberFormat="1">
      <alignment horizontal="left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left" vertical="center"/>
    </xf>
    <xf borderId="7" fillId="0" fontId="1" numFmtId="9" xfId="0" applyAlignment="1" applyBorder="1" applyFont="1" applyNumberFormat="1">
      <alignment horizontal="left" vertical="center"/>
    </xf>
    <xf borderId="12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left" readingOrder="0" vertical="center"/>
    </xf>
    <xf borderId="13" fillId="0" fontId="1" numFmtId="0" xfId="0" applyAlignment="1" applyBorder="1" applyFont="1">
      <alignment vertical="center"/>
    </xf>
    <xf borderId="1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4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0" fontId="4" numFmtId="165" xfId="0" applyAlignment="1" applyBorder="1" applyFont="1" applyNumberFormat="1">
      <alignment horizontal="center" vertical="center"/>
    </xf>
    <xf borderId="0" fillId="0" fontId="4" numFmtId="0" xfId="0" applyFont="1"/>
    <xf borderId="9" fillId="0" fontId="4" numFmtId="0" xfId="0" applyAlignment="1" applyBorder="1" applyFont="1">
      <alignment horizontal="left" shrinkToFit="0" vertical="top" wrapText="1"/>
    </xf>
    <xf borderId="1" fillId="0" fontId="4" numFmtId="0" xfId="0" applyBorder="1" applyFont="1"/>
    <xf borderId="2" fillId="0" fontId="4" numFmtId="0" xfId="0" applyBorder="1" applyFont="1"/>
    <xf borderId="4" fillId="0" fontId="4" numFmtId="0" xfId="0" applyBorder="1" applyFont="1"/>
    <xf borderId="3" fillId="0" fontId="4" numFmtId="166" xfId="0" applyBorder="1" applyFont="1" applyNumberFormat="1"/>
    <xf borderId="4" fillId="0" fontId="4" numFmtId="166" xfId="0" applyBorder="1" applyFont="1" applyNumberFormat="1"/>
    <xf borderId="9" fillId="0" fontId="4" numFmtId="0" xfId="0" applyAlignment="1" applyBorder="1" applyFont="1">
      <alignment horizontal="left"/>
    </xf>
    <xf borderId="5" fillId="0" fontId="4" numFmtId="0" xfId="0" applyBorder="1" applyFont="1"/>
    <xf borderId="9" fillId="0" fontId="4" numFmtId="0" xfId="0" applyBorder="1" applyFont="1"/>
    <xf borderId="6" fillId="0" fontId="4" numFmtId="166" xfId="0" applyBorder="1" applyFont="1" applyNumberFormat="1"/>
    <xf borderId="9" fillId="0" fontId="4" numFmtId="166" xfId="0" applyBorder="1" applyFont="1" applyNumberFormat="1"/>
    <xf borderId="9" fillId="0" fontId="4" numFmtId="167" xfId="0" applyBorder="1" applyFont="1" applyNumberFormat="1"/>
    <xf borderId="9" fillId="0" fontId="4" numFmtId="0" xfId="0" applyAlignment="1" applyBorder="1" applyFont="1">
      <alignment horizontal="center"/>
    </xf>
    <xf borderId="0" fillId="0" fontId="4" numFmtId="166" xfId="0" applyFont="1" applyNumberFormat="1"/>
    <xf borderId="9" fillId="0" fontId="1" numFmtId="0" xfId="0" applyAlignment="1" applyBorder="1" applyFont="1">
      <alignment horizontal="left"/>
    </xf>
    <xf borderId="6" fillId="0" fontId="1" numFmtId="0" xfId="0" applyAlignment="1" applyBorder="1" applyFont="1">
      <alignment vertical="top"/>
    </xf>
    <xf borderId="9" fillId="0" fontId="1" numFmtId="167" xfId="0" applyBorder="1" applyFont="1" applyNumberFormat="1"/>
    <xf borderId="9" fillId="0" fontId="1" numFmtId="0" xfId="0" applyAlignment="1" applyBorder="1" applyFont="1">
      <alignment horizontal="center"/>
    </xf>
    <xf borderId="9" fillId="0" fontId="1" numFmtId="166" xfId="0" applyBorder="1" applyFont="1" applyNumberFormat="1"/>
    <xf borderId="0" fillId="0" fontId="1" numFmtId="166" xfId="0" applyFont="1" applyNumberFormat="1"/>
    <xf borderId="9" fillId="0" fontId="4" numFmtId="0" xfId="0" applyAlignment="1" applyBorder="1" applyFont="1">
      <alignment vertical="top"/>
    </xf>
    <xf borderId="9" fillId="0" fontId="4" numFmtId="0" xfId="0" applyAlignment="1" applyBorder="1" applyFont="1">
      <alignment horizontal="left" vertical="top"/>
    </xf>
    <xf borderId="9" fillId="0" fontId="1" numFmtId="0" xfId="0" applyAlignment="1" applyBorder="1" applyFont="1">
      <alignment shrinkToFit="0" vertical="center" wrapText="1"/>
    </xf>
    <xf borderId="9" fillId="0" fontId="1" numFmtId="3" xfId="0" applyAlignment="1" applyBorder="1" applyFont="1" applyNumberFormat="1">
      <alignment shrinkToFit="0" vertical="center" wrapText="1"/>
    </xf>
    <xf borderId="0" fillId="0" fontId="1" numFmtId="167" xfId="0" applyFont="1" applyNumberFormat="1"/>
    <xf borderId="15" fillId="0" fontId="1" numFmtId="3" xfId="0" applyAlignment="1" applyBorder="1" applyFont="1" applyNumberFormat="1">
      <alignment shrinkToFit="0" vertical="center" wrapText="1"/>
    </xf>
    <xf borderId="6" fillId="0" fontId="1" numFmtId="166" xfId="0" applyBorder="1" applyFont="1" applyNumberFormat="1"/>
    <xf borderId="12" fillId="0" fontId="4" numFmtId="0" xfId="0" applyAlignment="1" applyBorder="1" applyFont="1">
      <alignment horizontal="center"/>
    </xf>
    <xf borderId="15" fillId="0" fontId="4" numFmtId="166" xfId="0" applyBorder="1" applyFont="1" applyNumberForma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168" xfId="0" applyFont="1" applyNumberFormat="1"/>
    <xf borderId="0" fillId="0" fontId="1" numFmtId="166" xfId="0" applyAlignment="1" applyFont="1" applyNumberFormat="1">
      <alignment horizontal="right"/>
    </xf>
    <xf borderId="5" fillId="0" fontId="1" numFmtId="0" xfId="0" applyAlignment="1" applyBorder="1" applyFont="1">
      <alignment horizontal="center"/>
    </xf>
    <xf borderId="6" fillId="0" fontId="3" numFmtId="0" xfId="0" applyBorder="1" applyFont="1"/>
    <xf borderId="5" fillId="0" fontId="1" numFmtId="0" xfId="0" applyAlignment="1" applyBorder="1" applyFont="1">
      <alignment horizontal="center" shrinkToFit="0" wrapText="1"/>
    </xf>
    <xf borderId="13" fillId="0" fontId="1" numFmtId="168" xfId="0" applyBorder="1" applyFont="1" applyNumberFormat="1"/>
    <xf borderId="13" fillId="0" fontId="1" numFmtId="166" xfId="0" applyBorder="1" applyFont="1" applyNumberFormat="1"/>
    <xf borderId="5" fillId="0" fontId="7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16" fillId="0" fontId="3" numFmtId="0" xfId="0" applyBorder="1" applyFont="1"/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shrinkToFit="0" vertical="top" wrapText="1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11" numFmtId="0" xfId="0" applyFont="1"/>
    <xf borderId="17" fillId="0" fontId="4" numFmtId="0" xfId="0" applyAlignment="1" applyBorder="1" applyFont="1">
      <alignment horizontal="center"/>
    </xf>
    <xf borderId="17" fillId="0" fontId="3" numFmtId="0" xfId="0" applyBorder="1" applyFont="1"/>
    <xf borderId="17" fillId="0" fontId="1" numFmtId="0" xfId="0" applyBorder="1" applyFont="1"/>
    <xf borderId="18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5" fillId="0" fontId="3" numFmtId="0" xfId="0" applyBorder="1" applyFont="1"/>
    <xf borderId="1" fillId="0" fontId="1" numFmtId="0" xfId="0" applyAlignment="1" applyBorder="1" applyFont="1">
      <alignment horizontal="center" vertical="center"/>
    </xf>
    <xf borderId="13" fillId="0" fontId="4" numFmtId="0" xfId="0" applyBorder="1" applyFont="1"/>
    <xf borderId="4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 vertical="center"/>
    </xf>
    <xf borderId="28" fillId="0" fontId="3" numFmtId="0" xfId="0" applyBorder="1" applyFont="1"/>
    <xf borderId="15" fillId="0" fontId="1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left" vertical="center"/>
    </xf>
    <xf borderId="3" fillId="0" fontId="1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30" fillId="0" fontId="4" numFmtId="0" xfId="0" applyAlignment="1" applyBorder="1" applyFont="1">
      <alignment horizontal="left"/>
    </xf>
    <xf borderId="4" fillId="0" fontId="4" numFmtId="167" xfId="0" applyBorder="1" applyFont="1" applyNumberFormat="1"/>
    <xf borderId="3" fillId="0" fontId="4" numFmtId="165" xfId="0" applyAlignment="1" applyBorder="1" applyFont="1" applyNumberFormat="1">
      <alignment horizontal="center" vertical="center"/>
    </xf>
    <xf borderId="32" fillId="0" fontId="4" numFmtId="0" xfId="0" applyAlignment="1" applyBorder="1" applyFont="1">
      <alignment horizontal="left"/>
    </xf>
    <xf borderId="6" fillId="0" fontId="4" numFmtId="0" xfId="0" applyBorder="1" applyFont="1"/>
    <xf borderId="9" fillId="0" fontId="4" numFmtId="165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33" fillId="2" fontId="1" numFmtId="0" xfId="0" applyBorder="1" applyFill="1" applyFont="1"/>
    <xf borderId="9" fillId="0" fontId="1" numFmtId="0" xfId="0" applyBorder="1" applyFont="1"/>
    <xf borderId="9" fillId="0" fontId="12" numFmtId="166" xfId="0" applyBorder="1" applyFont="1" applyNumberFormat="1"/>
    <xf borderId="9" fillId="0" fontId="13" numFmtId="167" xfId="0" applyBorder="1" applyFont="1" applyNumberFormat="1"/>
    <xf borderId="9" fillId="0" fontId="12" numFmtId="167" xfId="0" applyBorder="1" applyFont="1" applyNumberFormat="1"/>
    <xf borderId="9" fillId="0" fontId="13" numFmtId="166" xfId="0" applyBorder="1" applyFont="1" applyNumberFormat="1"/>
    <xf borderId="32" fillId="0" fontId="1" numFmtId="0" xfId="0" applyAlignment="1" applyBorder="1" applyFont="1">
      <alignment horizontal="left"/>
    </xf>
    <xf borderId="26" fillId="0" fontId="4" numFmtId="0" xfId="0" applyAlignment="1" applyBorder="1" applyFont="1">
      <alignment horizontal="left"/>
    </xf>
    <xf borderId="26" fillId="0" fontId="1" numFmtId="0" xfId="0" applyAlignment="1" applyBorder="1" applyFont="1">
      <alignment horizontal="left"/>
    </xf>
    <xf borderId="9" fillId="0" fontId="4" numFmtId="169" xfId="0" applyBorder="1" applyFont="1" applyNumberFormat="1"/>
    <xf borderId="6" fillId="0" fontId="1" numFmtId="165" xfId="0" applyAlignment="1" applyBorder="1" applyFont="1" applyNumberFormat="1">
      <alignment horizontal="center" vertical="center"/>
    </xf>
    <xf borderId="34" fillId="0" fontId="4" numFmtId="0" xfId="0" applyAlignment="1" applyBorder="1" applyFont="1">
      <alignment horizontal="center"/>
    </xf>
    <xf borderId="35" fillId="0" fontId="3" numFmtId="0" xfId="0" applyBorder="1" applyFont="1"/>
    <xf borderId="36" fillId="0" fontId="3" numFmtId="0" xfId="0" applyBorder="1" applyFont="1"/>
    <xf borderId="37" fillId="0" fontId="4" numFmtId="167" xfId="0" applyBorder="1" applyFont="1" applyNumberFormat="1"/>
    <xf borderId="37" fillId="0" fontId="1" numFmtId="0" xfId="0" applyBorder="1" applyFont="1"/>
    <xf borderId="38" fillId="0" fontId="4" numFmtId="167" xfId="0" applyBorder="1" applyFont="1" applyNumberFormat="1"/>
    <xf borderId="0" fillId="0" fontId="14" numFmtId="0" xfId="0" applyFont="1"/>
    <xf borderId="0" fillId="0" fontId="1" numFmtId="2" xfId="0" applyFont="1" applyNumberFormat="1"/>
    <xf borderId="5" fillId="0" fontId="4" numFmtId="0" xfId="0" applyAlignment="1" applyBorder="1" applyFont="1">
      <alignment horizontal="center"/>
    </xf>
    <xf borderId="15" fillId="0" fontId="1" numFmtId="2" xfId="0" applyAlignment="1" applyBorder="1" applyFont="1" applyNumberFormat="1">
      <alignment horizontal="center" vertical="center"/>
    </xf>
    <xf borderId="15" fillId="0" fontId="4" numFmtId="0" xfId="0" applyAlignment="1" applyBorder="1" applyFont="1">
      <alignment horizontal="left"/>
    </xf>
    <xf borderId="12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left"/>
    </xf>
    <xf borderId="14" fillId="0" fontId="4" numFmtId="0" xfId="0" applyAlignment="1" applyBorder="1" applyFont="1">
      <alignment horizontal="left"/>
    </xf>
    <xf borderId="15" fillId="0" fontId="1" numFmtId="0" xfId="0" applyAlignment="1" applyBorder="1" applyFont="1">
      <alignment horizontal="left"/>
    </xf>
    <xf borderId="15" fillId="0" fontId="1" numFmtId="4" xfId="0" applyAlignment="1" applyBorder="1" applyFont="1" applyNumberFormat="1">
      <alignment horizontal="right"/>
    </xf>
    <xf borderId="15" fillId="0" fontId="4" numFmtId="4" xfId="0" applyAlignment="1" applyBorder="1" applyFont="1" applyNumberFormat="1">
      <alignment horizontal="right"/>
    </xf>
    <xf borderId="15" fillId="0" fontId="4" numFmtId="167" xfId="0" applyBorder="1" applyFont="1" applyNumberFormat="1"/>
    <xf borderId="15" fillId="0" fontId="4" numFmtId="0" xfId="0" applyBorder="1" applyFont="1"/>
    <xf borderId="39" fillId="2" fontId="1" numFmtId="0" xfId="0" applyBorder="1" applyFont="1"/>
    <xf borderId="15" fillId="0" fontId="1" numFmtId="166" xfId="0" applyBorder="1" applyFont="1" applyNumberFormat="1"/>
    <xf borderId="15" fillId="0" fontId="1" numFmtId="167" xfId="0" applyBorder="1" applyFont="1" applyNumberFormat="1"/>
    <xf borderId="15" fillId="0" fontId="12" numFmtId="166" xfId="0" applyBorder="1" applyFont="1" applyNumberFormat="1"/>
    <xf borderId="15" fillId="0" fontId="15" numFmtId="167" xfId="0" applyBorder="1" applyFont="1" applyNumberFormat="1"/>
    <xf borderId="15" fillId="0" fontId="12" numFmtId="167" xfId="0" applyBorder="1" applyFont="1" applyNumberFormat="1"/>
    <xf borderId="15" fillId="0" fontId="1" numFmtId="167" xfId="0" applyAlignment="1" applyBorder="1" applyFont="1" applyNumberFormat="1">
      <alignment horizontal="left"/>
    </xf>
    <xf borderId="15" fillId="0" fontId="1" numFmtId="0" xfId="0" applyBorder="1" applyFont="1"/>
    <xf borderId="39" fillId="2" fontId="4" numFmtId="0" xfId="0" applyBorder="1" applyFont="1"/>
    <xf borderId="12" fillId="0" fontId="1" numFmtId="0" xfId="0" applyAlignment="1" applyBorder="1" applyFont="1">
      <alignment horizontal="left"/>
    </xf>
    <xf borderId="13" fillId="0" fontId="1" numFmtId="0" xfId="0" applyAlignment="1" applyBorder="1" applyFont="1">
      <alignment horizontal="left"/>
    </xf>
    <xf borderId="14" fillId="0" fontId="1" numFmtId="0" xfId="0" applyAlignment="1" applyBorder="1" applyFont="1">
      <alignment horizontal="left"/>
    </xf>
    <xf borderId="15" fillId="0" fontId="16" numFmtId="166" xfId="0" applyBorder="1" applyFont="1" applyNumberFormat="1"/>
    <xf borderId="15" fillId="0" fontId="17" numFmtId="167" xfId="0" applyBorder="1" applyFont="1" applyNumberFormat="1"/>
    <xf borderId="15" fillId="0" fontId="16" numFmtId="167" xfId="0" applyBorder="1" applyFont="1" applyNumberFormat="1"/>
    <xf borderId="15" fillId="0" fontId="1" numFmtId="169" xfId="0" applyBorder="1" applyFont="1" applyNumberFormat="1"/>
    <xf borderId="0" fillId="0" fontId="2" numFmtId="0" xfId="0" applyAlignment="1" applyFont="1">
      <alignment horizontal="center"/>
    </xf>
    <xf borderId="18" fillId="0" fontId="18" numFmtId="0" xfId="0" applyAlignment="1" applyBorder="1" applyFont="1">
      <alignment horizontal="center" shrinkToFit="0" vertical="center" wrapText="1"/>
    </xf>
    <xf borderId="19" fillId="0" fontId="18" numFmtId="0" xfId="0" applyAlignment="1" applyBorder="1" applyFont="1">
      <alignment horizontal="center" shrinkToFit="0" vertical="center" wrapText="1"/>
    </xf>
    <xf borderId="40" fillId="0" fontId="18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5" fillId="0" fontId="4" numFmtId="0" xfId="0" applyAlignment="1" applyBorder="1" applyFont="1">
      <alignment horizontal="center"/>
    </xf>
    <xf borderId="31" fillId="0" fontId="4" numFmtId="0" xfId="0" applyAlignment="1" applyBorder="1" applyFont="1">
      <alignment horizontal="center"/>
    </xf>
    <xf borderId="41" fillId="0" fontId="18" numFmtId="0" xfId="0" applyAlignment="1" applyBorder="1" applyFont="1">
      <alignment horizontal="center"/>
    </xf>
    <xf borderId="12" fillId="0" fontId="18" numFmtId="0" xfId="0" applyAlignment="1" applyBorder="1" applyFont="1">
      <alignment horizontal="center"/>
    </xf>
    <xf borderId="15" fillId="0" fontId="18" numFmtId="0" xfId="0" applyAlignment="1" applyBorder="1" applyFont="1">
      <alignment horizontal="center"/>
    </xf>
    <xf borderId="31" fillId="0" fontId="18" numFmtId="0" xfId="0" applyAlignment="1" applyBorder="1" applyFont="1">
      <alignment horizontal="center"/>
    </xf>
    <xf borderId="8" fillId="0" fontId="18" numFmtId="0" xfId="0" applyAlignment="1" applyBorder="1" applyFont="1">
      <alignment horizontal="center"/>
    </xf>
    <xf borderId="26" fillId="0" fontId="18" numFmtId="0" xfId="0" applyAlignment="1" applyBorder="1" applyFont="1">
      <alignment horizontal="center"/>
    </xf>
    <xf borderId="5" fillId="0" fontId="18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9" fillId="0" fontId="18" numFmtId="0" xfId="0" applyAlignment="1" applyBorder="1" applyFont="1">
      <alignment horizontal="center"/>
    </xf>
    <xf borderId="42" fillId="0" fontId="18" numFmtId="0" xfId="0" applyAlignment="1" applyBorder="1" applyFont="1">
      <alignment horizontal="center"/>
    </xf>
    <xf borderId="26" fillId="0" fontId="19" numFmtId="0" xfId="0" applyAlignment="1" applyBorder="1" applyFont="1">
      <alignment horizontal="center"/>
    </xf>
    <xf borderId="5" fillId="0" fontId="19" numFmtId="0" xfId="0" applyBorder="1" applyFont="1"/>
    <xf borderId="0" fillId="0" fontId="19" numFmtId="0" xfId="0" applyAlignment="1" applyFont="1">
      <alignment horizontal="left" readingOrder="1" shrinkToFit="0" wrapText="1"/>
    </xf>
    <xf borderId="6" fillId="0" fontId="19" numFmtId="0" xfId="0" applyAlignment="1" applyBorder="1" applyFont="1">
      <alignment horizontal="left" readingOrder="1" shrinkToFit="0" wrapText="1"/>
    </xf>
    <xf borderId="9" fillId="0" fontId="19" numFmtId="167" xfId="0" applyBorder="1" applyFont="1" applyNumberFormat="1"/>
    <xf borderId="42" fillId="0" fontId="1" numFmtId="167" xfId="0" applyBorder="1" applyFont="1" applyNumberFormat="1"/>
    <xf borderId="26" fillId="0" fontId="20" numFmtId="0" xfId="0" applyAlignment="1" applyBorder="1" applyFont="1">
      <alignment horizontal="center"/>
    </xf>
    <xf borderId="5" fillId="0" fontId="20" numFmtId="0" xfId="0" applyBorder="1" applyFont="1"/>
    <xf borderId="0" fillId="0" fontId="20" numFmtId="0" xfId="0" applyFont="1"/>
    <xf borderId="0" fillId="0" fontId="19" numFmtId="0" xfId="0" applyFont="1"/>
    <xf borderId="28" fillId="0" fontId="18" numFmtId="0" xfId="0" applyAlignment="1" applyBorder="1" applyFont="1">
      <alignment horizontal="center"/>
    </xf>
    <xf borderId="5" fillId="0" fontId="20" numFmtId="0" xfId="0" applyAlignment="1" applyBorder="1" applyFont="1">
      <alignment horizontal="left" shrinkToFit="0" wrapText="1"/>
    </xf>
    <xf borderId="6" fillId="0" fontId="19" numFmtId="167" xfId="0" applyBorder="1" applyFont="1" applyNumberFormat="1"/>
    <xf borderId="43" fillId="0" fontId="18" numFmtId="0" xfId="0" applyAlignment="1" applyBorder="1" applyFont="1">
      <alignment horizontal="center"/>
    </xf>
    <xf borderId="44" fillId="0" fontId="20" numFmtId="0" xfId="0" applyAlignment="1" applyBorder="1" applyFont="1">
      <alignment horizontal="center"/>
    </xf>
    <xf borderId="45" fillId="0" fontId="20" numFmtId="0" xfId="0" applyBorder="1" applyFont="1"/>
    <xf borderId="17" fillId="0" fontId="20" numFmtId="0" xfId="0" applyBorder="1" applyFont="1"/>
    <xf borderId="9" fillId="0" fontId="20" numFmtId="166" xfId="0" applyBorder="1" applyFont="1" applyNumberFormat="1"/>
    <xf borderId="42" fillId="0" fontId="1" numFmtId="0" xfId="0" applyBorder="1" applyFont="1"/>
    <xf borderId="46" fillId="0" fontId="20" numFmtId="0" xfId="0" applyBorder="1" applyFont="1"/>
    <xf borderId="47" fillId="0" fontId="20" numFmtId="0" xfId="0" applyBorder="1" applyFont="1"/>
    <xf borderId="48" fillId="0" fontId="20" numFmtId="0" xfId="0" applyBorder="1" applyFont="1"/>
    <xf borderId="49" fillId="0" fontId="20" numFmtId="0" xfId="0" applyBorder="1" applyFont="1"/>
    <xf borderId="15" fillId="0" fontId="20" numFmtId="167" xfId="0" applyBorder="1" applyFont="1" applyNumberFormat="1"/>
    <xf borderId="41" fillId="0" fontId="1" numFmtId="0" xfId="0" applyBorder="1" applyFont="1"/>
    <xf borderId="13" fillId="0" fontId="1" numFmtId="167" xfId="0" applyBorder="1" applyFont="1" applyNumberFormat="1"/>
    <xf borderId="31" fillId="0" fontId="1" numFmtId="167" xfId="0" applyBorder="1" applyFont="1" applyNumberFormat="1"/>
    <xf borderId="13" fillId="0" fontId="20" numFmtId="0" xfId="0" applyBorder="1" applyFont="1"/>
    <xf borderId="31" fillId="0" fontId="1" numFmtId="166" xfId="0" applyBorder="1" applyFont="1" applyNumberFormat="1"/>
    <xf borderId="44" fillId="0" fontId="1" numFmtId="0" xfId="0" applyBorder="1" applyFont="1"/>
    <xf borderId="50" fillId="0" fontId="1" numFmtId="0" xfId="0" applyBorder="1" applyFont="1"/>
    <xf borderId="17" fillId="0" fontId="1" numFmtId="166" xfId="0" applyBorder="1" applyFont="1" applyNumberFormat="1"/>
    <xf borderId="51" fillId="0" fontId="1" numFmtId="166" xfId="0" applyBorder="1" applyFont="1" applyNumberFormat="1"/>
    <xf borderId="52" fillId="0" fontId="1" numFmtId="166" xfId="0" applyBorder="1" applyFont="1" applyNumberFormat="1"/>
    <xf borderId="20" fillId="0" fontId="21" numFmtId="0" xfId="0" applyBorder="1" applyFont="1"/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2" numFmtId="0" xfId="0" applyAlignment="1" applyFont="1">
      <alignment readingOrder="0"/>
    </xf>
    <xf borderId="0" fillId="0" fontId="25" numFmtId="0" xfId="0" applyFont="1"/>
    <xf borderId="0" fillId="0" fontId="26" numFmtId="0" xfId="0" applyAlignment="1" applyFont="1">
      <alignment horizontal="center"/>
    </xf>
    <xf borderId="0" fillId="0" fontId="27" numFmtId="0" xfId="0" applyAlignment="1" applyFont="1">
      <alignment horizontal="center"/>
    </xf>
    <xf borderId="0" fillId="0" fontId="25" numFmtId="0" xfId="0" applyAlignment="1" applyFont="1">
      <alignment horizontal="right"/>
    </xf>
    <xf borderId="0" fillId="0" fontId="21" numFmtId="0" xfId="0" applyAlignment="1" applyFont="1">
      <alignment horizontal="right"/>
    </xf>
    <xf borderId="4" fillId="0" fontId="28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vertical="center"/>
    </xf>
    <xf borderId="12" fillId="0" fontId="28" numFmtId="0" xfId="0" applyAlignment="1" applyBorder="1" applyFont="1">
      <alignment horizontal="center"/>
    </xf>
    <xf borderId="4" fillId="0" fontId="28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shrinkToFit="0" vertical="center" wrapText="1"/>
    </xf>
    <xf borderId="0" fillId="0" fontId="25" numFmtId="166" xfId="0" applyFont="1" applyNumberFormat="1"/>
    <xf borderId="15" fillId="0" fontId="28" numFmtId="0" xfId="0" applyAlignment="1" applyBorder="1" applyFont="1">
      <alignment horizontal="center"/>
    </xf>
    <xf borderId="15" fillId="0" fontId="25" numFmtId="0" xfId="0" applyAlignment="1" applyBorder="1" applyFont="1">
      <alignment horizontal="center"/>
    </xf>
    <xf borderId="12" fillId="0" fontId="25" numFmtId="0" xfId="0" applyAlignment="1" applyBorder="1" applyFont="1">
      <alignment horizontal="center"/>
    </xf>
    <xf borderId="0" fillId="0" fontId="28" numFmtId="0" xfId="0" applyFont="1"/>
    <xf borderId="15" fillId="0" fontId="28" numFmtId="0" xfId="0" applyAlignment="1" applyBorder="1" applyFont="1">
      <alignment horizontal="left"/>
    </xf>
    <xf borderId="15" fillId="0" fontId="28" numFmtId="165" xfId="0" applyAlignment="1" applyBorder="1" applyFont="1" applyNumberFormat="1">
      <alignment horizontal="left"/>
    </xf>
    <xf borderId="15" fillId="0" fontId="28" numFmtId="167" xfId="0" applyBorder="1" applyFont="1" applyNumberFormat="1"/>
    <xf borderId="15" fillId="0" fontId="28" numFmtId="166" xfId="0" applyBorder="1" applyFont="1" applyNumberFormat="1"/>
    <xf borderId="0" fillId="0" fontId="28" numFmtId="166" xfId="0" applyFont="1" applyNumberFormat="1"/>
    <xf borderId="15" fillId="0" fontId="28" numFmtId="0" xfId="0" applyBorder="1" applyFont="1"/>
    <xf borderId="15" fillId="0" fontId="25" numFmtId="167" xfId="0" applyBorder="1" applyFont="1" applyNumberFormat="1"/>
    <xf borderId="15" fillId="0" fontId="25" numFmtId="0" xfId="0" applyBorder="1" applyFont="1"/>
    <xf borderId="15" fillId="0" fontId="25" numFmtId="166" xfId="0" applyBorder="1" applyFont="1" applyNumberFormat="1"/>
    <xf borderId="15" fillId="0" fontId="25" numFmtId="0" xfId="0" applyAlignment="1" applyBorder="1" applyFont="1">
      <alignment horizontal="left"/>
    </xf>
    <xf borderId="15" fillId="0" fontId="25" numFmtId="0" xfId="0" applyAlignment="1" applyBorder="1" applyFont="1">
      <alignment horizontal="left" shrinkToFit="0" wrapText="1"/>
    </xf>
    <xf borderId="0" fillId="0" fontId="2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9725618179306555"/>
          <c:y val="0.013590000218584636"/>
          <c:w val="0.9475966366273186"/>
          <c:h val="0.9612048780132386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'ROK OP'!$H$71:$T$71</c:f>
            </c:strRef>
          </c:cat>
          <c:val>
            <c:numRef>
              <c:f>'ROK OP'!$H$71:$T$71</c:f>
              <c:numCache/>
            </c:numRef>
          </c:val>
          <c:smooth val="0"/>
        </c:ser>
        <c:axId val="1670322865"/>
        <c:axId val="1099246051"/>
      </c:lineChart>
      <c:catAx>
        <c:axId val="1670322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9246051"/>
      </c:catAx>
      <c:valAx>
        <c:axId val="10992460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7032286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1</xdr:row>
      <xdr:rowOff>114300</xdr:rowOff>
    </xdr:from>
    <xdr:ext cx="9429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285750</xdr:colOff>
      <xdr:row>1</xdr:row>
      <xdr:rowOff>200025</xdr:rowOff>
    </xdr:from>
    <xdr:ext cx="11610975" cy="12649200"/>
    <xdr:graphicFrame>
      <xdr:nvGraphicFramePr>
        <xdr:cNvPr id="149601469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13.29"/>
    <col customWidth="1" min="3" max="4" width="1.86"/>
    <col customWidth="1" min="5" max="5" width="5.0"/>
    <col customWidth="1" min="6" max="6" width="2.0"/>
    <col customWidth="1" min="7" max="7" width="3.0"/>
    <col customWidth="1" min="8" max="8" width="2.0"/>
    <col customWidth="1" min="9" max="9" width="6.86"/>
    <col customWidth="1" min="10" max="10" width="1.71"/>
    <col customWidth="1" min="11" max="11" width="5.71"/>
    <col customWidth="1" min="12" max="12" width="1.86"/>
    <col customWidth="1" min="13" max="13" width="2.0"/>
    <col customWidth="1" min="14" max="14" width="17.86"/>
    <col customWidth="1" min="15" max="15" width="16.71"/>
    <col customWidth="1" min="16" max="16" width="13.14"/>
    <col customWidth="1" min="17" max="17" width="27.43"/>
    <col customWidth="1" min="18" max="18" width="20.0"/>
    <col customWidth="1" min="19" max="19" width="19.57"/>
    <col customWidth="1" min="20" max="21" width="14.29"/>
    <col customWidth="1" min="22" max="22" width="13.86"/>
    <col customWidth="1" min="23" max="26" width="8.71"/>
  </cols>
  <sheetData>
    <row r="2" ht="22.5" customHeight="1">
      <c r="B2" s="1"/>
      <c r="C2" s="2"/>
      <c r="D2" s="2"/>
      <c r="E2" s="3"/>
      <c r="F2" s="4" t="s"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1</v>
      </c>
    </row>
    <row r="3" ht="22.5" customHeight="1">
      <c r="B3" s="7"/>
      <c r="C3" s="8"/>
      <c r="D3" s="8"/>
      <c r="E3" s="9"/>
      <c r="F3" s="10" t="s">
        <v>2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</row>
    <row r="4" ht="19.5" customHeight="1">
      <c r="B4" s="7"/>
      <c r="C4" s="8"/>
      <c r="D4" s="8"/>
      <c r="E4" s="9"/>
      <c r="F4" s="13" t="s">
        <v>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2"/>
    </row>
    <row r="5" ht="19.5" customHeight="1">
      <c r="B5" s="14"/>
      <c r="C5" s="15"/>
      <c r="D5" s="15"/>
      <c r="E5" s="16"/>
      <c r="F5" s="17" t="s">
        <v>4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8"/>
    </row>
    <row r="6" ht="19.5" customHeight="1">
      <c r="B6" s="19" t="s">
        <v>5</v>
      </c>
      <c r="C6" s="20"/>
      <c r="D6" s="20"/>
      <c r="E6" s="20"/>
      <c r="F6" s="21"/>
      <c r="G6" s="21"/>
      <c r="H6" s="21" t="s">
        <v>6</v>
      </c>
      <c r="I6" s="22" t="s">
        <v>7</v>
      </c>
      <c r="J6" s="5"/>
      <c r="K6" s="5"/>
      <c r="L6" s="5"/>
      <c r="M6" s="5"/>
      <c r="N6" s="5"/>
      <c r="O6" s="5"/>
      <c r="P6" s="5"/>
      <c r="Q6" s="5"/>
      <c r="R6" s="5"/>
      <c r="S6" s="23"/>
    </row>
    <row r="7" ht="19.5" customHeight="1">
      <c r="B7" s="24" t="s">
        <v>8</v>
      </c>
      <c r="C7" s="25"/>
      <c r="D7" s="25"/>
      <c r="E7" s="25"/>
      <c r="F7" s="26" t="s">
        <v>6</v>
      </c>
      <c r="G7" s="26" t="s">
        <v>9</v>
      </c>
      <c r="H7" s="15"/>
      <c r="I7" s="15"/>
      <c r="J7" s="27"/>
      <c r="K7" s="26"/>
      <c r="L7" s="26"/>
      <c r="M7" s="26"/>
      <c r="N7" s="26"/>
      <c r="O7" s="26"/>
      <c r="P7" s="26"/>
      <c r="Q7" s="26"/>
      <c r="R7" s="26"/>
      <c r="S7" s="28"/>
    </row>
    <row r="8" ht="18.0" customHeight="1">
      <c r="B8" s="29" t="s">
        <v>10</v>
      </c>
      <c r="C8" s="20"/>
      <c r="D8" s="20"/>
      <c r="E8" s="20"/>
      <c r="F8" s="20" t="s">
        <v>6</v>
      </c>
      <c r="G8" s="20" t="s">
        <v>11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30"/>
    </row>
    <row r="9" ht="18.0" customHeight="1">
      <c r="B9" s="31" t="s">
        <v>12</v>
      </c>
      <c r="C9" s="32"/>
      <c r="D9" s="32"/>
      <c r="E9" s="32"/>
      <c r="F9" s="32" t="s">
        <v>6</v>
      </c>
      <c r="G9" s="32" t="s">
        <v>13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3"/>
    </row>
    <row r="10" ht="18.0" customHeight="1">
      <c r="B10" s="31" t="s">
        <v>14</v>
      </c>
      <c r="C10" s="32"/>
      <c r="D10" s="32"/>
      <c r="E10" s="32"/>
      <c r="F10" s="32" t="s">
        <v>6</v>
      </c>
      <c r="G10" s="32" t="s">
        <v>15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3"/>
    </row>
    <row r="11" ht="18.0" customHeight="1">
      <c r="B11" s="31" t="s">
        <v>16</v>
      </c>
      <c r="C11" s="32"/>
      <c r="D11" s="32"/>
      <c r="E11" s="32"/>
      <c r="F11" s="32" t="s">
        <v>6</v>
      </c>
      <c r="G11" s="34" t="s">
        <v>17</v>
      </c>
      <c r="N11" s="32"/>
      <c r="O11" s="32"/>
      <c r="P11" s="32"/>
      <c r="Q11" s="32"/>
      <c r="R11" s="32"/>
      <c r="S11" s="33"/>
    </row>
    <row r="12" ht="18.0" customHeight="1">
      <c r="B12" s="31" t="s">
        <v>18</v>
      </c>
      <c r="C12" s="32"/>
      <c r="D12" s="32"/>
      <c r="E12" s="32"/>
      <c r="F12" s="32" t="s">
        <v>6</v>
      </c>
      <c r="G12" s="34" t="s">
        <v>19</v>
      </c>
      <c r="N12" s="32"/>
      <c r="O12" s="32"/>
      <c r="P12" s="32"/>
      <c r="Q12" s="32"/>
      <c r="R12" s="32"/>
      <c r="S12" s="33"/>
    </row>
    <row r="13" ht="18.0" customHeight="1">
      <c r="B13" s="31" t="s">
        <v>20</v>
      </c>
      <c r="C13" s="25"/>
      <c r="D13" s="25"/>
      <c r="E13" s="25"/>
      <c r="F13" s="25" t="s">
        <v>6</v>
      </c>
      <c r="G13" s="34" t="s">
        <v>21</v>
      </c>
      <c r="N13" s="32"/>
      <c r="O13" s="25"/>
      <c r="P13" s="25"/>
      <c r="Q13" s="25"/>
      <c r="R13" s="25"/>
      <c r="S13" s="35"/>
    </row>
    <row r="14" ht="18.0" customHeight="1">
      <c r="B14" s="36" t="s">
        <v>22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8"/>
    </row>
    <row r="15" ht="18.0" customHeight="1">
      <c r="B15" s="36" t="s">
        <v>23</v>
      </c>
      <c r="C15" s="37"/>
      <c r="D15" s="37"/>
      <c r="E15" s="38"/>
      <c r="F15" s="36" t="s">
        <v>24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39" t="s">
        <v>25</v>
      </c>
      <c r="S15" s="38"/>
    </row>
    <row r="16" ht="18.0" customHeight="1">
      <c r="B16" s="40" t="s">
        <v>26</v>
      </c>
      <c r="C16" s="37"/>
      <c r="D16" s="37"/>
      <c r="E16" s="38"/>
      <c r="F16" s="41"/>
      <c r="G16" s="42" t="s">
        <v>27</v>
      </c>
      <c r="H16" s="37"/>
      <c r="I16" s="37"/>
      <c r="J16" s="37"/>
      <c r="K16" s="37"/>
      <c r="L16" s="37"/>
      <c r="M16" s="37"/>
      <c r="N16" s="37"/>
      <c r="O16" s="37"/>
      <c r="P16" s="37"/>
      <c r="Q16" s="38"/>
      <c r="R16" s="43" t="s">
        <v>28</v>
      </c>
      <c r="S16" s="44"/>
    </row>
    <row r="17" ht="18.0" customHeight="1">
      <c r="B17" s="45" t="s">
        <v>29</v>
      </c>
      <c r="C17" s="5"/>
      <c r="D17" s="5"/>
      <c r="E17" s="23"/>
      <c r="F17" s="29"/>
      <c r="G17" s="46" t="s">
        <v>30</v>
      </c>
      <c r="H17" s="5"/>
      <c r="I17" s="5"/>
      <c r="J17" s="5"/>
      <c r="K17" s="5"/>
      <c r="L17" s="5"/>
      <c r="M17" s="5"/>
      <c r="N17" s="5"/>
      <c r="O17" s="5"/>
      <c r="P17" s="5"/>
      <c r="Q17" s="23"/>
      <c r="R17" s="43" t="s">
        <v>19</v>
      </c>
      <c r="S17" s="38"/>
    </row>
    <row r="18" ht="18.0" customHeight="1">
      <c r="B18" s="29" t="s">
        <v>31</v>
      </c>
      <c r="C18" s="5"/>
      <c r="D18" s="5"/>
      <c r="E18" s="23"/>
      <c r="F18" s="29"/>
      <c r="G18" s="47" t="s">
        <v>32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48" t="s">
        <v>33</v>
      </c>
      <c r="S18" s="30"/>
    </row>
    <row r="19" ht="18.0" customHeight="1">
      <c r="B19" s="49"/>
      <c r="C19" s="11"/>
      <c r="D19" s="11"/>
      <c r="E19" s="50"/>
      <c r="F19" s="31"/>
      <c r="R19" s="49"/>
      <c r="S19" s="35"/>
    </row>
    <row r="20" ht="18.0" hidden="1" customHeight="1">
      <c r="B20" s="51"/>
      <c r="C20" s="51"/>
      <c r="D20" s="51"/>
      <c r="E20" s="51"/>
      <c r="F20" s="31"/>
      <c r="G20" s="52" t="s">
        <v>34</v>
      </c>
      <c r="H20" s="52"/>
      <c r="I20" s="52"/>
      <c r="J20" s="52"/>
      <c r="K20" s="8"/>
      <c r="L20" s="32"/>
      <c r="M20" s="32"/>
      <c r="N20" s="32"/>
      <c r="O20" s="32"/>
      <c r="P20" s="32"/>
      <c r="Q20" s="32"/>
      <c r="R20" s="53" t="s">
        <v>35</v>
      </c>
      <c r="S20" s="33"/>
    </row>
    <row r="21" ht="18.0" hidden="1" customHeight="1">
      <c r="B21" s="51"/>
      <c r="C21" s="51"/>
      <c r="D21" s="51"/>
      <c r="E21" s="51"/>
      <c r="F21" s="31"/>
      <c r="G21" s="52" t="s">
        <v>36</v>
      </c>
      <c r="H21" s="52"/>
      <c r="I21" s="52"/>
      <c r="J21" s="52"/>
      <c r="K21" s="8"/>
      <c r="L21" s="32"/>
      <c r="M21" s="32"/>
      <c r="N21" s="32"/>
      <c r="O21" s="32"/>
      <c r="P21" s="32"/>
      <c r="Q21" s="32"/>
      <c r="R21" s="53" t="s">
        <v>37</v>
      </c>
      <c r="S21" s="33"/>
    </row>
    <row r="22" ht="18.0" hidden="1" customHeight="1">
      <c r="B22" s="51"/>
      <c r="C22" s="51"/>
      <c r="D22" s="51"/>
      <c r="E22" s="51"/>
      <c r="F22" s="31"/>
      <c r="G22" s="52" t="s">
        <v>38</v>
      </c>
      <c r="H22" s="52"/>
      <c r="I22" s="52"/>
      <c r="J22" s="52"/>
      <c r="K22" s="8"/>
      <c r="L22" s="32"/>
      <c r="M22" s="32"/>
      <c r="N22" s="32"/>
      <c r="O22" s="32"/>
      <c r="P22" s="32"/>
      <c r="Q22" s="32"/>
      <c r="R22" s="53" t="s">
        <v>39</v>
      </c>
      <c r="S22" s="33"/>
    </row>
    <row r="23" ht="18.0" hidden="1" customHeight="1">
      <c r="B23" s="51"/>
      <c r="C23" s="51"/>
      <c r="D23" s="51"/>
      <c r="E23" s="51"/>
      <c r="F23" s="54"/>
      <c r="G23" s="55"/>
      <c r="H23" s="55"/>
      <c r="I23" s="55"/>
      <c r="J23" s="55"/>
      <c r="K23" s="15"/>
      <c r="L23" s="25"/>
      <c r="M23" s="25"/>
      <c r="N23" s="25"/>
      <c r="O23" s="25"/>
      <c r="P23" s="25"/>
      <c r="Q23" s="25"/>
      <c r="R23" s="56"/>
      <c r="S23" s="35"/>
    </row>
    <row r="24" ht="33.0" customHeight="1">
      <c r="B24" s="40" t="s">
        <v>40</v>
      </c>
      <c r="C24" s="37"/>
      <c r="D24" s="37"/>
      <c r="E24" s="38"/>
      <c r="F24" s="57" t="s">
        <v>41</v>
      </c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8"/>
      <c r="R24" s="58" t="s">
        <v>42</v>
      </c>
      <c r="S24" s="35"/>
    </row>
    <row r="25" ht="18.0" customHeight="1">
      <c r="B25" s="41" t="s">
        <v>43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44"/>
      <c r="R25" s="59"/>
      <c r="S25" s="44"/>
    </row>
    <row r="26" ht="15.75" customHeight="1">
      <c r="B26" s="60" t="s">
        <v>44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3"/>
    </row>
    <row r="27" ht="15.75" customHeight="1">
      <c r="B27" s="61" t="s">
        <v>45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50"/>
    </row>
    <row r="28" ht="19.5" customHeight="1">
      <c r="B28" s="62" t="s">
        <v>46</v>
      </c>
      <c r="C28" s="13" t="s">
        <v>47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23"/>
      <c r="P28" s="36" t="s">
        <v>48</v>
      </c>
      <c r="Q28" s="37"/>
      <c r="R28" s="38"/>
      <c r="S28" s="62" t="s">
        <v>49</v>
      </c>
    </row>
    <row r="29" ht="19.5" customHeight="1">
      <c r="B29" s="63" t="s">
        <v>50</v>
      </c>
      <c r="C29" s="4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50"/>
      <c r="P29" s="64" t="s">
        <v>51</v>
      </c>
      <c r="Q29" s="64" t="s">
        <v>52</v>
      </c>
      <c r="R29" s="65" t="s">
        <v>53</v>
      </c>
      <c r="S29" s="18"/>
    </row>
    <row r="30" ht="19.5" customHeight="1">
      <c r="A30" s="66"/>
      <c r="B30" s="64">
        <v>1.0</v>
      </c>
      <c r="C30" s="36">
        <v>2.0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64">
        <v>3.0</v>
      </c>
      <c r="Q30" s="64">
        <v>4.0</v>
      </c>
      <c r="R30" s="65">
        <v>5.0</v>
      </c>
      <c r="S30" s="64" t="s">
        <v>54</v>
      </c>
      <c r="T30" s="66"/>
      <c r="U30" s="66"/>
      <c r="V30" s="66"/>
      <c r="W30" s="66"/>
      <c r="X30" s="66"/>
      <c r="Y30" s="66"/>
      <c r="Z30" s="66"/>
    </row>
    <row r="31" ht="19.5" customHeight="1">
      <c r="A31" s="66"/>
      <c r="B31" s="67">
        <v>5.0</v>
      </c>
      <c r="C31" s="68" t="s">
        <v>55</v>
      </c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2"/>
      <c r="Q31" s="62"/>
      <c r="R31" s="70"/>
      <c r="S31" s="71">
        <f>S32+S62</f>
        <v>94371800</v>
      </c>
      <c r="T31" s="66"/>
      <c r="U31" s="66"/>
      <c r="V31" s="66"/>
      <c r="W31" s="66"/>
      <c r="X31" s="66"/>
      <c r="Y31" s="66"/>
      <c r="Z31" s="66"/>
    </row>
    <row r="32" ht="15.75" customHeight="1">
      <c r="A32" s="72"/>
      <c r="B32" s="73" t="s">
        <v>56</v>
      </c>
      <c r="C32" s="74" t="s">
        <v>57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6"/>
      <c r="Q32" s="76"/>
      <c r="R32" s="77"/>
      <c r="S32" s="78">
        <f>S34</f>
        <v>32999400</v>
      </c>
      <c r="T32" s="72"/>
      <c r="U32" s="72"/>
      <c r="V32" s="72"/>
      <c r="W32" s="72"/>
      <c r="X32" s="72"/>
      <c r="Y32" s="72"/>
      <c r="Z32" s="72"/>
    </row>
    <row r="33" ht="7.5" customHeight="1">
      <c r="A33" s="72"/>
      <c r="B33" s="79"/>
      <c r="C33" s="80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81"/>
      <c r="Q33" s="81"/>
      <c r="R33" s="82"/>
      <c r="S33" s="83"/>
      <c r="T33" s="72"/>
      <c r="U33" s="72"/>
      <c r="V33" s="72"/>
      <c r="W33" s="72"/>
      <c r="X33" s="72"/>
      <c r="Y33" s="72"/>
      <c r="Z33" s="72"/>
    </row>
    <row r="34" ht="15.75" customHeight="1">
      <c r="A34" s="72"/>
      <c r="B34" s="79" t="s">
        <v>58</v>
      </c>
      <c r="C34" s="80" t="s">
        <v>59</v>
      </c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81"/>
      <c r="Q34" s="81"/>
      <c r="R34" s="82"/>
      <c r="S34" s="83">
        <f>S36+S53</f>
        <v>32999400</v>
      </c>
      <c r="T34" s="72"/>
      <c r="U34" s="72"/>
      <c r="V34" s="72"/>
      <c r="W34" s="72"/>
      <c r="X34" s="72"/>
      <c r="Y34" s="72"/>
      <c r="Z34" s="72"/>
    </row>
    <row r="35" ht="9.0" customHeight="1">
      <c r="A35" s="72"/>
      <c r="B35" s="79"/>
      <c r="C35" s="80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81"/>
      <c r="Q35" s="81"/>
      <c r="R35" s="82"/>
      <c r="S35" s="83"/>
      <c r="T35" s="72"/>
      <c r="U35" s="72"/>
      <c r="V35" s="72"/>
      <c r="W35" s="72"/>
      <c r="X35" s="72"/>
      <c r="Y35" s="72"/>
      <c r="Z35" s="72"/>
    </row>
    <row r="36" ht="15.75" customHeight="1">
      <c r="A36" s="72"/>
      <c r="B36" s="79" t="s">
        <v>60</v>
      </c>
      <c r="C36" s="80" t="s">
        <v>61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84"/>
      <c r="Q36" s="85"/>
      <c r="R36" s="82"/>
      <c r="S36" s="83">
        <f>S38+S43+S47+S50</f>
        <v>1791400</v>
      </c>
      <c r="T36" s="86"/>
      <c r="U36" s="72"/>
      <c r="V36" s="72"/>
      <c r="W36" s="72"/>
      <c r="X36" s="72"/>
      <c r="Y36" s="72"/>
      <c r="Z36" s="72"/>
    </row>
    <row r="37" ht="6.75" customHeight="1">
      <c r="A37" s="72"/>
      <c r="B37" s="79"/>
      <c r="C37" s="80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84"/>
      <c r="Q37" s="85"/>
      <c r="R37" s="82"/>
      <c r="S37" s="83"/>
      <c r="T37" s="72"/>
      <c r="U37" s="72"/>
      <c r="V37" s="72"/>
      <c r="W37" s="72"/>
      <c r="X37" s="72"/>
      <c r="Y37" s="72"/>
      <c r="Z37" s="72"/>
    </row>
    <row r="38" ht="15.75" customHeight="1">
      <c r="B38" s="87" t="s">
        <v>62</v>
      </c>
      <c r="C38" s="7" t="s">
        <v>63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84"/>
      <c r="Q38" s="85"/>
      <c r="R38" s="82"/>
      <c r="S38" s="83">
        <f>SUM(S39:S41)</f>
        <v>656000</v>
      </c>
    </row>
    <row r="39" ht="15.75" customHeight="1">
      <c r="B39" s="87"/>
      <c r="C39" s="7"/>
      <c r="D39" s="8" t="s">
        <v>64</v>
      </c>
      <c r="E39" s="88" t="s">
        <v>65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9">
        <v>100.0</v>
      </c>
      <c r="Q39" s="90" t="s">
        <v>66</v>
      </c>
      <c r="R39" s="91">
        <v>3300.0</v>
      </c>
      <c r="S39" s="91">
        <f t="shared" ref="S39:S41" si="1">P39*R39</f>
        <v>330000</v>
      </c>
      <c r="T39" s="92"/>
      <c r="U39" s="92"/>
    </row>
    <row r="40" ht="15.75" customHeight="1">
      <c r="B40" s="87"/>
      <c r="C40" s="7"/>
      <c r="D40" s="8" t="s">
        <v>64</v>
      </c>
      <c r="E40" s="88" t="s">
        <v>67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9">
        <v>5.0</v>
      </c>
      <c r="Q40" s="90" t="s">
        <v>68</v>
      </c>
      <c r="R40" s="91">
        <v>13200.0</v>
      </c>
      <c r="S40" s="91">
        <f t="shared" si="1"/>
        <v>66000</v>
      </c>
      <c r="T40" s="92"/>
      <c r="U40" s="92"/>
    </row>
    <row r="41" ht="15.75" customHeight="1">
      <c r="B41" s="87"/>
      <c r="C41" s="7"/>
      <c r="D41" s="8" t="s">
        <v>64</v>
      </c>
      <c r="E41" s="88" t="s">
        <v>69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9">
        <v>5.0</v>
      </c>
      <c r="Q41" s="90" t="s">
        <v>66</v>
      </c>
      <c r="R41" s="91">
        <v>52000.0</v>
      </c>
      <c r="S41" s="91">
        <f t="shared" si="1"/>
        <v>260000</v>
      </c>
      <c r="T41" s="92"/>
      <c r="U41" s="92"/>
    </row>
    <row r="42" ht="15.75" customHeight="1">
      <c r="B42" s="87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9"/>
      <c r="Q42" s="90"/>
      <c r="R42" s="91"/>
      <c r="S42" s="91"/>
      <c r="T42" s="92"/>
      <c r="U42" s="92"/>
    </row>
    <row r="43" ht="15.75" customHeight="1">
      <c r="B43" s="87" t="s">
        <v>70</v>
      </c>
      <c r="C43" s="93" t="s">
        <v>71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9"/>
      <c r="Q43" s="90"/>
      <c r="R43" s="91"/>
      <c r="S43" s="91">
        <f>SUM(S44:S45)</f>
        <v>441400</v>
      </c>
    </row>
    <row r="44" ht="15.75" customHeight="1">
      <c r="B44" s="87"/>
      <c r="C44" s="7"/>
      <c r="D44" s="8" t="s">
        <v>64</v>
      </c>
      <c r="E44" s="88" t="s">
        <v>72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9">
        <v>2.0</v>
      </c>
      <c r="Q44" s="90" t="s">
        <v>73</v>
      </c>
      <c r="R44" s="91">
        <v>82400.0</v>
      </c>
      <c r="S44" s="91">
        <f t="shared" ref="S44:S45" si="2">P44*R44</f>
        <v>164800</v>
      </c>
      <c r="T44" s="92"/>
      <c r="U44" s="92"/>
    </row>
    <row r="45" ht="15.75" customHeight="1">
      <c r="B45" s="87"/>
      <c r="C45" s="7"/>
      <c r="D45" s="8" t="s">
        <v>64</v>
      </c>
      <c r="E45" s="88" t="s">
        <v>74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9">
        <v>3.0</v>
      </c>
      <c r="Q45" s="90" t="s">
        <v>73</v>
      </c>
      <c r="R45" s="91">
        <v>92200.0</v>
      </c>
      <c r="S45" s="91">
        <f t="shared" si="2"/>
        <v>276600</v>
      </c>
      <c r="T45" s="92"/>
      <c r="U45" s="92"/>
    </row>
    <row r="46" ht="15.75" customHeight="1">
      <c r="B46" s="87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9"/>
      <c r="Q46" s="90"/>
      <c r="R46" s="91"/>
      <c r="S46" s="91"/>
      <c r="T46" s="92"/>
      <c r="U46" s="92"/>
    </row>
    <row r="47" ht="15.75" customHeight="1">
      <c r="B47" s="94" t="s">
        <v>75</v>
      </c>
      <c r="C47" s="93" t="s">
        <v>76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84"/>
      <c r="Q47" s="85"/>
      <c r="R47" s="83"/>
      <c r="S47" s="83">
        <f>S48</f>
        <v>544000</v>
      </c>
      <c r="T47" s="92"/>
      <c r="U47" s="92"/>
    </row>
    <row r="48" ht="15.75" customHeight="1">
      <c r="B48" s="87"/>
      <c r="C48" s="7"/>
      <c r="D48" s="8" t="s">
        <v>64</v>
      </c>
      <c r="E48" s="88" t="s">
        <v>77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9">
        <v>1360.0</v>
      </c>
      <c r="Q48" s="90" t="s">
        <v>78</v>
      </c>
      <c r="R48" s="91">
        <v>400.0</v>
      </c>
      <c r="S48" s="91">
        <f>P48*R48</f>
        <v>544000</v>
      </c>
      <c r="T48" s="92"/>
      <c r="U48" s="92"/>
    </row>
    <row r="49" ht="15.75" customHeight="1">
      <c r="B49" s="87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9"/>
      <c r="Q49" s="90"/>
      <c r="R49" s="91"/>
      <c r="S49" s="91"/>
      <c r="T49" s="92"/>
      <c r="U49" s="92"/>
    </row>
    <row r="50" ht="15.75" customHeight="1">
      <c r="B50" s="73" t="s">
        <v>79</v>
      </c>
      <c r="C50" s="93" t="s">
        <v>80</v>
      </c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84"/>
      <c r="Q50" s="85"/>
      <c r="R50" s="83"/>
      <c r="S50" s="83">
        <f>S51</f>
        <v>150000</v>
      </c>
      <c r="T50" s="92"/>
      <c r="U50" s="92"/>
    </row>
    <row r="51" ht="15.75" customHeight="1">
      <c r="B51" s="87"/>
      <c r="C51" s="7"/>
      <c r="D51" s="8" t="s">
        <v>64</v>
      </c>
      <c r="E51" s="88" t="s">
        <v>81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9">
        <v>15.0</v>
      </c>
      <c r="Q51" s="90" t="s">
        <v>78</v>
      </c>
      <c r="R51" s="91">
        <v>10000.0</v>
      </c>
      <c r="S51" s="91">
        <f>P51*R51</f>
        <v>150000</v>
      </c>
      <c r="T51" s="92"/>
      <c r="U51" s="92"/>
    </row>
    <row r="52" ht="15.75" customHeight="1">
      <c r="B52" s="87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9"/>
      <c r="Q52" s="90"/>
      <c r="R52" s="91"/>
      <c r="S52" s="91"/>
      <c r="T52" s="92"/>
      <c r="U52" s="92"/>
    </row>
    <row r="53" ht="15.75" customHeight="1">
      <c r="B53" s="73" t="s">
        <v>82</v>
      </c>
      <c r="C53" s="93" t="s">
        <v>83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9"/>
      <c r="Q53" s="90"/>
      <c r="R53" s="91"/>
      <c r="S53" s="83">
        <f t="shared" ref="S53:S54" si="3">S54</f>
        <v>31208000</v>
      </c>
      <c r="T53" s="92"/>
      <c r="U53" s="91"/>
    </row>
    <row r="54" ht="15.75" customHeight="1">
      <c r="B54" s="73" t="s">
        <v>84</v>
      </c>
      <c r="C54" s="93" t="s">
        <v>85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9"/>
      <c r="Q54" s="90"/>
      <c r="R54" s="91"/>
      <c r="S54" s="83">
        <f t="shared" si="3"/>
        <v>31208000</v>
      </c>
      <c r="T54" s="92"/>
      <c r="U54" s="92"/>
    </row>
    <row r="55" ht="15.75" customHeight="1">
      <c r="B55" s="73" t="s">
        <v>86</v>
      </c>
      <c r="C55" s="93" t="s">
        <v>87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9"/>
      <c r="Q55" s="90"/>
      <c r="R55" s="91"/>
      <c r="S55" s="83">
        <f>SUM(S56:S60)</f>
        <v>31208000</v>
      </c>
      <c r="T55" s="92"/>
      <c r="U55" s="92"/>
    </row>
    <row r="56" ht="15.75" customHeight="1">
      <c r="B56" s="87"/>
      <c r="C56" s="7"/>
      <c r="D56" s="8" t="s">
        <v>64</v>
      </c>
      <c r="E56" s="88" t="s">
        <v>88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9">
        <v>8.0</v>
      </c>
      <c r="Q56" s="95" t="s">
        <v>89</v>
      </c>
      <c r="R56" s="96">
        <v>992000.0</v>
      </c>
      <c r="S56" s="91">
        <f t="shared" ref="S56:S60" si="4">P56*R56</f>
        <v>7936000</v>
      </c>
      <c r="T56" s="92"/>
      <c r="U56" s="92"/>
    </row>
    <row r="57" ht="15.75" customHeight="1">
      <c r="B57" s="87"/>
      <c r="C57" s="7"/>
      <c r="D57" s="8" t="s">
        <v>64</v>
      </c>
      <c r="E57" s="88" t="s">
        <v>90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9">
        <v>8.0</v>
      </c>
      <c r="Q57" s="95" t="s">
        <v>91</v>
      </c>
      <c r="R57" s="96">
        <v>227000.0</v>
      </c>
      <c r="S57" s="91">
        <f t="shared" si="4"/>
        <v>1816000</v>
      </c>
      <c r="T57" s="92"/>
      <c r="U57" s="92"/>
    </row>
    <row r="58" ht="15.75" customHeight="1">
      <c r="B58" s="87"/>
      <c r="C58" s="7"/>
      <c r="D58" s="8" t="s">
        <v>64</v>
      </c>
      <c r="E58" s="88" t="s">
        <v>92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9">
        <v>8.0</v>
      </c>
      <c r="Q58" s="95" t="s">
        <v>91</v>
      </c>
      <c r="R58" s="96">
        <v>256000.0</v>
      </c>
      <c r="S58" s="91">
        <f t="shared" si="4"/>
        <v>2048000</v>
      </c>
      <c r="T58" s="92"/>
      <c r="U58" s="92"/>
    </row>
    <row r="59" ht="15.75" customHeight="1">
      <c r="B59" s="87"/>
      <c r="C59" s="7"/>
      <c r="D59" s="8" t="s">
        <v>64</v>
      </c>
      <c r="E59" s="88" t="s">
        <v>93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9">
        <v>4.0</v>
      </c>
      <c r="Q59" s="95" t="s">
        <v>94</v>
      </c>
      <c r="R59" s="96">
        <v>3262000.0</v>
      </c>
      <c r="S59" s="91">
        <f t="shared" si="4"/>
        <v>13048000</v>
      </c>
      <c r="T59" s="92"/>
      <c r="U59" s="92"/>
    </row>
    <row r="60" ht="15.75" customHeight="1">
      <c r="B60" s="87"/>
      <c r="C60" s="7"/>
      <c r="D60" s="8" t="s">
        <v>64</v>
      </c>
      <c r="E60" s="88" t="s">
        <v>95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9">
        <v>12.0</v>
      </c>
      <c r="Q60" s="95" t="s">
        <v>89</v>
      </c>
      <c r="R60" s="96">
        <v>530000.0</v>
      </c>
      <c r="S60" s="91">
        <f t="shared" si="4"/>
        <v>6360000</v>
      </c>
      <c r="T60" s="92"/>
      <c r="U60" s="92"/>
    </row>
    <row r="61" ht="15.75" customHeight="1">
      <c r="B61" s="87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9"/>
      <c r="Q61" s="90"/>
      <c r="R61" s="91"/>
      <c r="S61" s="91"/>
      <c r="T61" s="92"/>
      <c r="U61" s="92"/>
    </row>
    <row r="62" ht="15.75" customHeight="1">
      <c r="B62" s="94" t="s">
        <v>96</v>
      </c>
      <c r="C62" s="93" t="s">
        <v>97</v>
      </c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84"/>
      <c r="Q62" s="85"/>
      <c r="R62" s="83"/>
      <c r="S62" s="83">
        <f t="shared" ref="S62:S63" si="5">S63</f>
        <v>61372400</v>
      </c>
      <c r="T62" s="92"/>
      <c r="U62" s="92"/>
    </row>
    <row r="63" ht="15.75" customHeight="1">
      <c r="B63" s="94" t="s">
        <v>98</v>
      </c>
      <c r="C63" s="93" t="s">
        <v>99</v>
      </c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84"/>
      <c r="Q63" s="85"/>
      <c r="R63" s="83"/>
      <c r="S63" s="83">
        <f t="shared" si="5"/>
        <v>61372400</v>
      </c>
      <c r="T63" s="92"/>
      <c r="U63" s="92"/>
    </row>
    <row r="64" ht="15.75" customHeight="1">
      <c r="B64" s="94" t="s">
        <v>100</v>
      </c>
      <c r="C64" s="93" t="s">
        <v>101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84"/>
      <c r="Q64" s="85"/>
      <c r="R64" s="83"/>
      <c r="S64" s="83">
        <f>S65+S69</f>
        <v>61372400</v>
      </c>
      <c r="T64" s="92"/>
      <c r="U64" s="92"/>
    </row>
    <row r="65" ht="15.75" customHeight="1">
      <c r="B65" s="94" t="s">
        <v>102</v>
      </c>
      <c r="C65" s="93" t="s">
        <v>103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84"/>
      <c r="Q65" s="85"/>
      <c r="R65" s="83"/>
      <c r="S65" s="83">
        <f t="shared" ref="S65:S66" si="6">S66</f>
        <v>34347600</v>
      </c>
      <c r="T65" s="92"/>
      <c r="U65" s="92"/>
    </row>
    <row r="66" ht="15.75" customHeight="1">
      <c r="B66" s="94" t="s">
        <v>104</v>
      </c>
      <c r="C66" s="93" t="s">
        <v>105</v>
      </c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84"/>
      <c r="Q66" s="85"/>
      <c r="R66" s="83"/>
      <c r="S66" s="83">
        <f t="shared" si="6"/>
        <v>34347600</v>
      </c>
      <c r="T66" s="92"/>
      <c r="U66" s="92"/>
    </row>
    <row r="67" ht="15.75" customHeight="1">
      <c r="B67" s="87"/>
      <c r="C67" s="7"/>
      <c r="D67" s="8" t="s">
        <v>64</v>
      </c>
      <c r="E67" s="88" t="s">
        <v>106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9">
        <v>1.0</v>
      </c>
      <c r="Q67" s="90" t="s">
        <v>107</v>
      </c>
      <c r="R67" s="96">
        <v>3.43476E7</v>
      </c>
      <c r="S67" s="91">
        <f>R67*P67</f>
        <v>34347600</v>
      </c>
      <c r="T67" s="92"/>
      <c r="U67" s="92"/>
    </row>
    <row r="68" ht="15.75" customHeight="1">
      <c r="B68" s="87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9"/>
      <c r="Q68" s="90"/>
      <c r="R68" s="91"/>
      <c r="S68" s="91"/>
      <c r="T68" s="92"/>
      <c r="U68" s="92"/>
    </row>
    <row r="69" ht="15.75" customHeight="1">
      <c r="B69" s="94" t="s">
        <v>108</v>
      </c>
      <c r="C69" s="93" t="s">
        <v>109</v>
      </c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84"/>
      <c r="Q69" s="85"/>
      <c r="R69" s="83"/>
      <c r="S69" s="83">
        <f t="shared" ref="S69:S70" si="7">S70</f>
        <v>27024800</v>
      </c>
      <c r="T69" s="92"/>
      <c r="U69" s="97"/>
    </row>
    <row r="70" ht="15.75" customHeight="1">
      <c r="B70" s="94" t="s">
        <v>110</v>
      </c>
      <c r="C70" s="93" t="s">
        <v>111</v>
      </c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84"/>
      <c r="Q70" s="85"/>
      <c r="R70" s="82"/>
      <c r="S70" s="83">
        <f t="shared" si="7"/>
        <v>27024800</v>
      </c>
      <c r="T70" s="92"/>
      <c r="U70" s="97"/>
    </row>
    <row r="71" ht="15.75" customHeight="1">
      <c r="B71" s="87"/>
      <c r="C71" s="7"/>
      <c r="D71" s="8" t="s">
        <v>64</v>
      </c>
      <c r="E71" s="88" t="s">
        <v>112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9">
        <v>1.0</v>
      </c>
      <c r="Q71" s="90" t="s">
        <v>107</v>
      </c>
      <c r="R71" s="98">
        <v>2.70248E7</v>
      </c>
      <c r="S71" s="91">
        <f>P71*R71</f>
        <v>27024800</v>
      </c>
      <c r="T71" s="92"/>
      <c r="U71" s="92"/>
      <c r="V71" s="97"/>
    </row>
    <row r="72" ht="15.75" customHeight="1">
      <c r="B72" s="87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9"/>
      <c r="Q72" s="90"/>
      <c r="R72" s="99"/>
      <c r="S72" s="91"/>
      <c r="T72" s="92"/>
      <c r="U72" s="92"/>
    </row>
    <row r="73" ht="15.75" hidden="1" customHeight="1">
      <c r="B73" s="87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9"/>
      <c r="Q73" s="90"/>
      <c r="R73" s="99"/>
      <c r="S73" s="91"/>
      <c r="T73" s="92"/>
      <c r="U73" s="92"/>
    </row>
    <row r="74" ht="15.75" hidden="1" customHeight="1">
      <c r="B74" s="87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9"/>
      <c r="Q74" s="90"/>
      <c r="R74" s="99"/>
      <c r="S74" s="91"/>
      <c r="T74" s="92"/>
      <c r="U74" s="92"/>
    </row>
    <row r="75" ht="15.75" customHeight="1">
      <c r="B75" s="100" t="s">
        <v>49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8"/>
      <c r="S75" s="101">
        <f>S32</f>
        <v>32999400</v>
      </c>
      <c r="T75" s="92"/>
      <c r="U75" s="92"/>
      <c r="V75" s="92"/>
    </row>
    <row r="76" ht="15.75" customHeight="1">
      <c r="B76" s="102" t="s">
        <v>113</v>
      </c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4"/>
      <c r="T76" s="92"/>
    </row>
    <row r="77" ht="15.75" customHeight="1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05" t="s">
        <v>114</v>
      </c>
      <c r="Q77" s="5"/>
      <c r="R77" s="5"/>
      <c r="S77" s="23"/>
      <c r="T77" s="92"/>
    </row>
    <row r="78" ht="15.75" customHeight="1">
      <c r="B78" s="7"/>
      <c r="C78" s="8" t="s">
        <v>115</v>
      </c>
      <c r="D78" s="8"/>
      <c r="E78" s="8"/>
      <c r="F78" s="8"/>
      <c r="G78" s="8"/>
      <c r="H78" s="8"/>
      <c r="I78" s="8"/>
      <c r="J78" s="8"/>
      <c r="K78" s="8" t="s">
        <v>116</v>
      </c>
      <c r="L78" s="106"/>
      <c r="M78" s="106"/>
      <c r="N78" s="107"/>
      <c r="O78" s="106"/>
      <c r="P78" s="108" t="s">
        <v>117</v>
      </c>
      <c r="S78" s="109"/>
    </row>
    <row r="79" ht="15.0" customHeight="1">
      <c r="B79" s="7"/>
      <c r="C79" s="8" t="s">
        <v>118</v>
      </c>
      <c r="D79" s="8"/>
      <c r="E79" s="8"/>
      <c r="F79" s="8"/>
      <c r="G79" s="8"/>
      <c r="H79" s="8"/>
      <c r="I79" s="8"/>
      <c r="J79" s="8"/>
      <c r="K79" s="8" t="s">
        <v>116</v>
      </c>
      <c r="L79" s="106"/>
      <c r="M79" s="106"/>
      <c r="N79" s="92"/>
      <c r="O79" s="106"/>
      <c r="P79" s="110" t="s">
        <v>119</v>
      </c>
      <c r="S79" s="109"/>
    </row>
    <row r="80" ht="15.75" customHeight="1">
      <c r="B80" s="7"/>
      <c r="C80" s="8" t="s">
        <v>120</v>
      </c>
      <c r="D80" s="8"/>
      <c r="E80" s="8"/>
      <c r="F80" s="8"/>
      <c r="G80" s="8"/>
      <c r="H80" s="8"/>
      <c r="I80" s="8"/>
      <c r="J80" s="8"/>
      <c r="K80" s="8" t="s">
        <v>116</v>
      </c>
      <c r="L80" s="106"/>
      <c r="M80" s="106"/>
      <c r="N80" s="92"/>
      <c r="O80" s="106"/>
      <c r="P80" s="108" t="s">
        <v>121</v>
      </c>
      <c r="S80" s="109"/>
      <c r="T80" s="92"/>
      <c r="U80" s="92"/>
    </row>
    <row r="81" ht="15.75" customHeight="1">
      <c r="B81" s="7"/>
      <c r="C81" s="8" t="s">
        <v>122</v>
      </c>
      <c r="D81" s="8"/>
      <c r="E81" s="8"/>
      <c r="F81" s="8"/>
      <c r="G81" s="8"/>
      <c r="H81" s="8"/>
      <c r="I81" s="8"/>
      <c r="J81" s="8"/>
      <c r="K81" s="8" t="s">
        <v>116</v>
      </c>
      <c r="L81" s="106"/>
      <c r="M81" s="106"/>
      <c r="N81" s="92"/>
      <c r="O81" s="106"/>
      <c r="P81" s="7"/>
      <c r="Q81" s="8"/>
      <c r="R81" s="8"/>
      <c r="S81" s="9"/>
    </row>
    <row r="82" ht="15.75" customHeight="1">
      <c r="B82" s="7"/>
      <c r="C82" s="8" t="s">
        <v>49</v>
      </c>
      <c r="D82" s="8"/>
      <c r="E82" s="8"/>
      <c r="F82" s="8"/>
      <c r="G82" s="8"/>
      <c r="H82" s="8"/>
      <c r="I82" s="8"/>
      <c r="J82" s="8"/>
      <c r="K82" s="103"/>
      <c r="L82" s="111"/>
      <c r="M82" s="111"/>
      <c r="N82" s="112">
        <f>SUM(N78:N81)</f>
        <v>0</v>
      </c>
      <c r="O82" s="106"/>
      <c r="P82" s="7"/>
      <c r="Q82" s="8"/>
      <c r="R82" s="8"/>
      <c r="S82" s="9"/>
      <c r="U82" s="92"/>
    </row>
    <row r="83" ht="15.75" customHeight="1">
      <c r="B83" s="7"/>
      <c r="C83" s="8"/>
      <c r="D83" s="8"/>
      <c r="E83" s="8"/>
      <c r="F83" s="8"/>
      <c r="G83" s="8"/>
      <c r="H83" s="8"/>
      <c r="I83" s="8"/>
      <c r="J83" s="8"/>
      <c r="K83" s="106"/>
      <c r="L83" s="106"/>
      <c r="M83" s="106"/>
      <c r="N83" s="106"/>
      <c r="O83" s="106"/>
      <c r="P83" s="113"/>
      <c r="S83" s="109"/>
      <c r="U83" s="92"/>
    </row>
    <row r="84" ht="15.75" customHeight="1">
      <c r="B84" s="7"/>
      <c r="C84" s="8"/>
      <c r="D84" s="8"/>
      <c r="E84" s="8"/>
      <c r="F84" s="8"/>
      <c r="G84" s="8"/>
      <c r="H84" s="8"/>
      <c r="I84" s="8"/>
      <c r="J84" s="8"/>
      <c r="K84" s="106"/>
      <c r="L84" s="106"/>
      <c r="M84" s="106"/>
      <c r="N84" s="106"/>
      <c r="O84" s="106"/>
      <c r="P84" s="114" t="s">
        <v>123</v>
      </c>
      <c r="S84" s="109"/>
      <c r="T84" s="92"/>
      <c r="U84" s="92"/>
    </row>
    <row r="85" ht="15.75" customHeight="1">
      <c r="B85" s="7"/>
      <c r="C85" s="8"/>
      <c r="D85" s="8"/>
      <c r="E85" s="8"/>
      <c r="F85" s="8"/>
      <c r="G85" s="8"/>
      <c r="H85" s="8"/>
      <c r="I85" s="8"/>
      <c r="J85" s="8"/>
      <c r="K85" s="106"/>
      <c r="L85" s="106"/>
      <c r="M85" s="106"/>
      <c r="N85" s="106"/>
      <c r="O85" s="106"/>
      <c r="P85" s="115" t="s">
        <v>124</v>
      </c>
      <c r="S85" s="116"/>
    </row>
    <row r="86" ht="15.75" customHeight="1"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6"/>
      <c r="P86" s="117" t="s">
        <v>125</v>
      </c>
      <c r="Q86" s="11"/>
      <c r="R86" s="11"/>
      <c r="S86" s="50"/>
    </row>
    <row r="87" ht="15.75" customHeight="1"/>
    <row r="88" ht="15.75" customHeight="1"/>
    <row r="89" ht="15.75" customHeight="1">
      <c r="Q89" s="66"/>
      <c r="T89" s="8"/>
      <c r="U89" s="8"/>
    </row>
    <row r="90" ht="15.75" customHeight="1">
      <c r="Q90" s="66"/>
      <c r="T90" s="8"/>
      <c r="U90" s="8"/>
    </row>
    <row r="91" ht="15.0" customHeight="1">
      <c r="Q91" s="118"/>
      <c r="T91" s="8"/>
      <c r="U91" s="8"/>
    </row>
    <row r="92" ht="15.75" customHeight="1">
      <c r="I92" s="119"/>
      <c r="Q92" s="66"/>
      <c r="T92" s="8"/>
      <c r="U92" s="8"/>
    </row>
    <row r="93" ht="15.75" customHeight="1">
      <c r="I93" s="8"/>
      <c r="Q93" s="8"/>
      <c r="R93" s="8"/>
      <c r="S93" s="8"/>
      <c r="T93" s="8"/>
      <c r="U93" s="8"/>
    </row>
    <row r="94" ht="15.75" customHeight="1">
      <c r="I94" s="8"/>
      <c r="Q94" s="8"/>
      <c r="R94" s="8"/>
      <c r="S94" s="8"/>
      <c r="T94" s="8"/>
      <c r="U94" s="8"/>
    </row>
    <row r="95" ht="15.75" customHeight="1">
      <c r="Q95" s="8"/>
      <c r="R95" s="8"/>
      <c r="S95" s="8"/>
      <c r="T95" s="8"/>
      <c r="U95" s="8"/>
    </row>
    <row r="96" ht="15.75" customHeight="1">
      <c r="Q96" s="120"/>
      <c r="T96" s="119"/>
      <c r="U96" s="119"/>
    </row>
    <row r="97" ht="15.75" customHeight="1">
      <c r="Q97" s="66"/>
      <c r="T97" s="8"/>
      <c r="U97" s="8"/>
    </row>
    <row r="98" ht="15.75" customHeight="1">
      <c r="Q98" s="66"/>
      <c r="T98" s="8"/>
      <c r="U98" s="8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F2:R2"/>
    <mergeCell ref="S2:S5"/>
    <mergeCell ref="F3:R3"/>
    <mergeCell ref="F4:R4"/>
    <mergeCell ref="F5:R5"/>
    <mergeCell ref="G11:M11"/>
    <mergeCell ref="G12:M12"/>
    <mergeCell ref="I6:S6"/>
    <mergeCell ref="B24:E24"/>
    <mergeCell ref="F24:Q24"/>
    <mergeCell ref="B26:S26"/>
    <mergeCell ref="B27:S27"/>
    <mergeCell ref="C28:O29"/>
    <mergeCell ref="P28:R28"/>
    <mergeCell ref="S28:S29"/>
    <mergeCell ref="C30:O30"/>
    <mergeCell ref="B75:R75"/>
    <mergeCell ref="P77:S77"/>
    <mergeCell ref="P78:S78"/>
    <mergeCell ref="P79:S79"/>
    <mergeCell ref="P80:S80"/>
    <mergeCell ref="P83:S83"/>
    <mergeCell ref="Q96:S96"/>
    <mergeCell ref="Q97:S97"/>
    <mergeCell ref="Q98:S98"/>
    <mergeCell ref="P84:S84"/>
    <mergeCell ref="P85:S85"/>
    <mergeCell ref="P86:S86"/>
    <mergeCell ref="Q89:S89"/>
    <mergeCell ref="Q90:S90"/>
    <mergeCell ref="Q91:S91"/>
    <mergeCell ref="Q92:S92"/>
    <mergeCell ref="G16:Q16"/>
    <mergeCell ref="G17:Q17"/>
    <mergeCell ref="G18:Q19"/>
    <mergeCell ref="B18:E19"/>
    <mergeCell ref="R18:R19"/>
    <mergeCell ref="G13:M13"/>
    <mergeCell ref="B14:S14"/>
    <mergeCell ref="B15:E15"/>
    <mergeCell ref="F15:Q15"/>
    <mergeCell ref="R15:S15"/>
    <mergeCell ref="B16:E16"/>
    <mergeCell ref="B17:E17"/>
    <mergeCell ref="R17:S17"/>
  </mergeCells>
  <printOptions horizontalCentered="1" verticalCentered="1"/>
  <pageMargins bottom="0.25" footer="0.0" header="0.0" left="0.25" right="0.25" top="0.25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12.29"/>
    <col customWidth="1" min="3" max="4" width="1.86"/>
    <col customWidth="1" min="5" max="5" width="12.29"/>
    <col customWidth="1" min="6" max="6" width="39.86"/>
    <col customWidth="1" min="7" max="7" width="8.0"/>
    <col customWidth="1" min="8" max="8" width="7.57"/>
    <col customWidth="1" min="9" max="9" width="12.86"/>
    <col customWidth="1" min="10" max="10" width="14.14"/>
    <col customWidth="1" min="11" max="11" width="8.0"/>
    <col customWidth="1" min="12" max="12" width="14.29"/>
    <col customWidth="1" min="13" max="13" width="8.0"/>
    <col customWidth="1" min="14" max="14" width="12.57"/>
    <col customWidth="1" min="15" max="15" width="14.29"/>
    <col customWidth="1" min="16" max="16" width="9.86"/>
    <col customWidth="1" min="17" max="17" width="14.29"/>
    <col customWidth="1" min="18" max="18" width="8.0"/>
    <col customWidth="1" min="19" max="19" width="14.29"/>
    <col customWidth="1" min="20" max="20" width="8.0"/>
    <col customWidth="1" min="21" max="21" width="13.0"/>
    <col customWidth="1" min="22" max="22" width="14.29"/>
    <col customWidth="1" min="23" max="23" width="8.0"/>
    <col customWidth="1" min="24" max="24" width="14.29"/>
    <col customWidth="1" min="25" max="25" width="8.0"/>
    <col customWidth="1" min="26" max="26" width="14.29"/>
    <col customWidth="1" min="27" max="27" width="8.0"/>
    <col customWidth="1" min="28" max="28" width="11.57"/>
    <col customWidth="1" min="29" max="29" width="8.0"/>
    <col customWidth="1" min="30" max="30" width="13.0"/>
    <col customWidth="1" min="31" max="31" width="14.29"/>
    <col customWidth="1" min="32" max="32" width="8.0"/>
    <col customWidth="1" min="33" max="33" width="14.29"/>
    <col customWidth="1" min="34" max="34" width="9.71"/>
    <col customWidth="1" min="35" max="35" width="14.29"/>
    <col customWidth="1" min="36" max="36" width="8.0"/>
    <col customWidth="1" min="37" max="37" width="14.29"/>
    <col customWidth="1" min="38" max="38" width="8.0"/>
    <col customWidth="1" min="39" max="39" width="13.0"/>
    <col customWidth="1" min="40" max="40" width="14.29"/>
    <col customWidth="1" min="41" max="41" width="8.0"/>
    <col customWidth="1" min="42" max="42" width="14.29"/>
    <col customWidth="1" min="43" max="43" width="8.0"/>
    <col customWidth="1" min="44" max="44" width="13.43"/>
    <col customWidth="1" min="45" max="45" width="8.0"/>
    <col customWidth="1" min="46" max="46" width="15.29"/>
    <col customWidth="1" min="47" max="47" width="8.0"/>
    <col customWidth="1" min="48" max="48" width="12.43"/>
    <col customWidth="1" min="49" max="49" width="13.43"/>
    <col customWidth="1" min="50" max="50" width="8.0"/>
    <col customWidth="1" min="51" max="51" width="15.29"/>
    <col customWidth="1" min="52" max="52" width="8.86"/>
    <col customWidth="1" min="53" max="53" width="15.29"/>
    <col customWidth="1" min="54" max="54" width="8.0"/>
    <col customWidth="1" min="55" max="55" width="11.57"/>
    <col customWidth="1" min="56" max="56" width="8.0"/>
    <col customWidth="1" min="57" max="58" width="13.43"/>
    <col customWidth="1" min="59" max="59" width="9.14"/>
    <col customWidth="1" min="60" max="60" width="15.29"/>
    <col customWidth="1" min="61" max="61" width="8.0"/>
    <col customWidth="1" min="62" max="62" width="13.43"/>
    <col customWidth="1" min="63" max="63" width="8.0"/>
    <col customWidth="1" min="64" max="64" width="15.29"/>
    <col customWidth="1" min="65" max="65" width="8.0"/>
    <col customWidth="1" min="66" max="66" width="13.0"/>
    <col customWidth="1" min="67" max="67" width="13.43"/>
    <col customWidth="1" min="68" max="68" width="8.57"/>
    <col customWidth="1" min="69" max="69" width="15.29"/>
    <col customWidth="1" min="70" max="70" width="8.86"/>
    <col customWidth="1" min="71" max="71" width="13.43"/>
    <col customWidth="1" min="72" max="72" width="8.43"/>
    <col customWidth="1" min="73" max="73" width="15.29"/>
    <col customWidth="1" min="74" max="74" width="8.0"/>
    <col customWidth="1" min="75" max="75" width="13.0"/>
    <col customWidth="1" min="76" max="76" width="13.43"/>
    <col customWidth="1" min="77" max="77" width="8.43"/>
    <col customWidth="1" min="78" max="78" width="15.29"/>
    <col customWidth="1" min="79" max="79" width="8.0"/>
    <col customWidth="1" min="80" max="80" width="13.43"/>
    <col customWidth="1" min="81" max="81" width="8.43"/>
    <col customWidth="1" min="82" max="82" width="11.57"/>
    <col customWidth="1" min="83" max="83" width="8.0"/>
    <col customWidth="1" min="84" max="84" width="13.0"/>
    <col customWidth="1" min="85" max="85" width="13.43"/>
    <col customWidth="1" min="86" max="86" width="8.43"/>
    <col customWidth="1" min="87" max="87" width="15.29"/>
    <col customWidth="1" min="88" max="88" width="8.0"/>
    <col customWidth="1" min="89" max="89" width="14.29"/>
    <col customWidth="1" min="90" max="90" width="8.43"/>
    <col customWidth="1" min="91" max="91" width="15.29"/>
    <col customWidth="1" min="92" max="92" width="8.0"/>
    <col customWidth="1" min="93" max="93" width="13.0"/>
    <col customWidth="1" min="94" max="94" width="13.43"/>
    <col customWidth="1" min="95" max="95" width="8.43"/>
    <col customWidth="1" min="96" max="96" width="15.29"/>
    <col customWidth="1" min="97" max="97" width="8.0"/>
    <col customWidth="1" min="98" max="98" width="13.43"/>
    <col customWidth="1" min="99" max="99" width="8.43"/>
    <col customWidth="1" min="100" max="100" width="15.29"/>
    <col customWidth="1" min="101" max="101" width="8.0"/>
    <col customWidth="1" min="102" max="102" width="13.0"/>
    <col customWidth="1" min="103" max="103" width="13.43"/>
    <col customWidth="1" min="104" max="104" width="8.43"/>
    <col customWidth="1" min="105" max="105" width="15.29"/>
    <col customWidth="1" min="106" max="106" width="8.0"/>
    <col customWidth="1" min="107" max="107" width="13.43"/>
    <col customWidth="1" min="108" max="108" width="8.43"/>
    <col customWidth="1" min="109" max="109" width="15.29"/>
    <col customWidth="1" min="110" max="110" width="8.0"/>
    <col customWidth="1" min="111" max="111" width="13.0"/>
    <col customWidth="1" min="112" max="112" width="13.43"/>
    <col customWidth="1" min="113" max="113" width="8.43"/>
    <col customWidth="1" min="114" max="114" width="15.29"/>
    <col customWidth="1" min="115" max="115" width="8.0"/>
    <col customWidth="1" min="116" max="116" width="15.29"/>
  </cols>
  <sheetData>
    <row r="1">
      <c r="B1" s="121" t="s">
        <v>126</v>
      </c>
      <c r="K1" s="8"/>
      <c r="L1" s="8"/>
      <c r="O1" s="8"/>
      <c r="Q1" s="8"/>
      <c r="R1" s="8"/>
      <c r="S1" s="8"/>
    </row>
    <row r="2">
      <c r="B2" s="121"/>
      <c r="C2" s="72"/>
      <c r="D2" s="72"/>
      <c r="E2" s="72"/>
      <c r="F2" s="72"/>
      <c r="G2" s="72"/>
      <c r="H2" s="72"/>
      <c r="I2" s="72"/>
      <c r="J2" s="72"/>
      <c r="K2" s="8"/>
      <c r="L2" s="8"/>
      <c r="O2" s="8"/>
      <c r="Q2" s="8"/>
      <c r="R2" s="8"/>
      <c r="S2" s="8"/>
      <c r="AH2" s="8" t="str">
        <f>#REF!/#REF!</f>
        <v>#REF!</v>
      </c>
      <c r="AI2" s="97" t="str">
        <f t="shared" ref="AI2:AI3" si="1">AH2*425000</f>
        <v>#REF!</v>
      </c>
    </row>
    <row r="3">
      <c r="B3" s="121"/>
      <c r="C3" s="72"/>
      <c r="D3" s="72"/>
      <c r="E3" s="72"/>
      <c r="F3" s="72"/>
      <c r="G3" s="72"/>
      <c r="H3" s="72"/>
      <c r="I3" s="72"/>
      <c r="J3" s="72"/>
      <c r="K3" s="8"/>
      <c r="L3" s="8"/>
      <c r="O3" s="8"/>
      <c r="Q3" s="8"/>
      <c r="R3" s="8"/>
      <c r="S3" s="8"/>
      <c r="AI3" s="97">
        <f t="shared" si="1"/>
        <v>0</v>
      </c>
      <c r="BH3" s="97">
        <v>7350000.0</v>
      </c>
    </row>
    <row r="4">
      <c r="B4" s="122"/>
      <c r="C4" s="123"/>
      <c r="D4" s="123"/>
      <c r="E4" s="123"/>
      <c r="F4" s="123"/>
      <c r="G4" s="123"/>
      <c r="H4" s="123"/>
      <c r="I4" s="123"/>
      <c r="J4" s="123"/>
      <c r="K4" s="124"/>
      <c r="L4" s="8"/>
      <c r="O4" s="8"/>
      <c r="P4" s="66"/>
      <c r="T4" s="66"/>
      <c r="BH4" s="97" t="str">
        <f>BH3-#REF!</f>
        <v>#REF!</v>
      </c>
    </row>
    <row r="5">
      <c r="B5" s="125" t="s">
        <v>127</v>
      </c>
      <c r="C5" s="126" t="s">
        <v>47</v>
      </c>
      <c r="D5" s="127"/>
      <c r="E5" s="127"/>
      <c r="F5" s="128"/>
      <c r="G5" s="129" t="s">
        <v>48</v>
      </c>
      <c r="H5" s="127"/>
      <c r="I5" s="127"/>
      <c r="J5" s="128"/>
      <c r="K5" s="130" t="s">
        <v>128</v>
      </c>
      <c r="L5" s="131"/>
      <c r="M5" s="131"/>
      <c r="N5" s="131"/>
      <c r="O5" s="132"/>
      <c r="P5" s="130" t="s">
        <v>129</v>
      </c>
      <c r="Q5" s="131"/>
      <c r="R5" s="131"/>
      <c r="S5" s="131"/>
      <c r="T5" s="131"/>
      <c r="U5" s="131"/>
      <c r="V5" s="131"/>
      <c r="W5" s="131"/>
      <c r="X5" s="132"/>
      <c r="Y5" s="130" t="s">
        <v>130</v>
      </c>
      <c r="Z5" s="131"/>
      <c r="AA5" s="131"/>
      <c r="AB5" s="131"/>
      <c r="AC5" s="131"/>
      <c r="AD5" s="131"/>
      <c r="AE5" s="131"/>
      <c r="AF5" s="131"/>
      <c r="AG5" s="132"/>
      <c r="AH5" s="130" t="s">
        <v>131</v>
      </c>
      <c r="AI5" s="131"/>
      <c r="AJ5" s="131"/>
      <c r="AK5" s="131"/>
      <c r="AL5" s="131"/>
      <c r="AM5" s="131"/>
      <c r="AN5" s="131"/>
      <c r="AO5" s="131"/>
      <c r="AP5" s="132"/>
      <c r="AQ5" s="130" t="s">
        <v>132</v>
      </c>
      <c r="AR5" s="131"/>
      <c r="AS5" s="131"/>
      <c r="AT5" s="131"/>
      <c r="AU5" s="131"/>
      <c r="AV5" s="131"/>
      <c r="AW5" s="131"/>
      <c r="AX5" s="131"/>
      <c r="AY5" s="132"/>
      <c r="AZ5" s="130" t="s">
        <v>133</v>
      </c>
      <c r="BA5" s="131"/>
      <c r="BB5" s="131"/>
      <c r="BC5" s="131"/>
      <c r="BD5" s="131"/>
      <c r="BE5" s="131"/>
      <c r="BF5" s="131"/>
      <c r="BG5" s="131"/>
      <c r="BH5" s="132"/>
      <c r="BI5" s="130" t="s">
        <v>134</v>
      </c>
      <c r="BJ5" s="131"/>
      <c r="BK5" s="131"/>
      <c r="BL5" s="131"/>
      <c r="BM5" s="131"/>
      <c r="BN5" s="131"/>
      <c r="BO5" s="131"/>
      <c r="BP5" s="131"/>
      <c r="BQ5" s="132"/>
      <c r="BR5" s="130" t="s">
        <v>135</v>
      </c>
      <c r="BS5" s="131"/>
      <c r="BT5" s="131"/>
      <c r="BU5" s="131"/>
      <c r="BV5" s="131"/>
      <c r="BW5" s="131"/>
      <c r="BX5" s="131"/>
      <c r="BY5" s="131"/>
      <c r="BZ5" s="132"/>
      <c r="CA5" s="130" t="s">
        <v>136</v>
      </c>
      <c r="CB5" s="131"/>
      <c r="CC5" s="131"/>
      <c r="CD5" s="131"/>
      <c r="CE5" s="131"/>
      <c r="CF5" s="131"/>
      <c r="CG5" s="131"/>
      <c r="CH5" s="131"/>
      <c r="CI5" s="132"/>
      <c r="CJ5" s="130" t="s">
        <v>137</v>
      </c>
      <c r="CK5" s="131"/>
      <c r="CL5" s="131"/>
      <c r="CM5" s="131"/>
      <c r="CN5" s="131"/>
      <c r="CO5" s="131"/>
      <c r="CP5" s="131"/>
      <c r="CQ5" s="131"/>
      <c r="CR5" s="132"/>
      <c r="CS5" s="130" t="s">
        <v>138</v>
      </c>
      <c r="CT5" s="131"/>
      <c r="CU5" s="131"/>
      <c r="CV5" s="131"/>
      <c r="CW5" s="131"/>
      <c r="CX5" s="131"/>
      <c r="CY5" s="131"/>
      <c r="CZ5" s="131"/>
      <c r="DA5" s="132"/>
      <c r="DB5" s="130" t="s">
        <v>139</v>
      </c>
      <c r="DC5" s="131"/>
      <c r="DD5" s="131"/>
      <c r="DE5" s="131"/>
      <c r="DF5" s="131"/>
      <c r="DG5" s="131"/>
      <c r="DH5" s="131"/>
      <c r="DI5" s="131"/>
      <c r="DJ5" s="132"/>
      <c r="DK5" s="126" t="s">
        <v>140</v>
      </c>
      <c r="DL5" s="133"/>
    </row>
    <row r="6">
      <c r="A6" s="72"/>
      <c r="B6" s="134"/>
      <c r="C6" s="135"/>
      <c r="F6" s="109"/>
      <c r="G6" s="49"/>
      <c r="H6" s="11"/>
      <c r="I6" s="11"/>
      <c r="J6" s="50"/>
      <c r="K6" s="136" t="s">
        <v>141</v>
      </c>
      <c r="L6" s="23"/>
      <c r="M6" s="136" t="s">
        <v>142</v>
      </c>
      <c r="N6" s="5"/>
      <c r="O6" s="23"/>
      <c r="P6" s="100" t="s">
        <v>141</v>
      </c>
      <c r="Q6" s="37"/>
      <c r="R6" s="37"/>
      <c r="S6" s="38"/>
      <c r="T6" s="100" t="s">
        <v>142</v>
      </c>
      <c r="U6" s="37"/>
      <c r="V6" s="37"/>
      <c r="W6" s="37"/>
      <c r="X6" s="38"/>
      <c r="Y6" s="100" t="s">
        <v>141</v>
      </c>
      <c r="Z6" s="37"/>
      <c r="AA6" s="37"/>
      <c r="AB6" s="38"/>
      <c r="AC6" s="100" t="s">
        <v>142</v>
      </c>
      <c r="AD6" s="37"/>
      <c r="AE6" s="37"/>
      <c r="AF6" s="37"/>
      <c r="AG6" s="38"/>
      <c r="AH6" s="100" t="s">
        <v>141</v>
      </c>
      <c r="AI6" s="37"/>
      <c r="AJ6" s="37"/>
      <c r="AK6" s="38"/>
      <c r="AL6" s="100" t="s">
        <v>142</v>
      </c>
      <c r="AM6" s="37"/>
      <c r="AN6" s="37"/>
      <c r="AO6" s="37"/>
      <c r="AP6" s="38"/>
      <c r="AQ6" s="100" t="s">
        <v>141</v>
      </c>
      <c r="AR6" s="37"/>
      <c r="AS6" s="37"/>
      <c r="AT6" s="38"/>
      <c r="AU6" s="100" t="s">
        <v>142</v>
      </c>
      <c r="AV6" s="37"/>
      <c r="AW6" s="37"/>
      <c r="AX6" s="37"/>
      <c r="AY6" s="38"/>
      <c r="AZ6" s="100" t="s">
        <v>141</v>
      </c>
      <c r="BA6" s="37"/>
      <c r="BB6" s="37"/>
      <c r="BC6" s="38"/>
      <c r="BD6" s="100" t="s">
        <v>142</v>
      </c>
      <c r="BE6" s="37"/>
      <c r="BF6" s="37"/>
      <c r="BG6" s="37"/>
      <c r="BH6" s="38"/>
      <c r="BI6" s="100" t="s">
        <v>141</v>
      </c>
      <c r="BJ6" s="37"/>
      <c r="BK6" s="37"/>
      <c r="BL6" s="38"/>
      <c r="BM6" s="100" t="s">
        <v>142</v>
      </c>
      <c r="BN6" s="37"/>
      <c r="BO6" s="37"/>
      <c r="BP6" s="37"/>
      <c r="BQ6" s="38"/>
      <c r="BR6" s="100" t="s">
        <v>141</v>
      </c>
      <c r="BS6" s="37"/>
      <c r="BT6" s="37"/>
      <c r="BU6" s="38"/>
      <c r="BV6" s="100" t="s">
        <v>142</v>
      </c>
      <c r="BW6" s="37"/>
      <c r="BX6" s="37"/>
      <c r="BY6" s="37"/>
      <c r="BZ6" s="38"/>
      <c r="CA6" s="100" t="s">
        <v>141</v>
      </c>
      <c r="CB6" s="37"/>
      <c r="CC6" s="37"/>
      <c r="CD6" s="38"/>
      <c r="CE6" s="100" t="s">
        <v>142</v>
      </c>
      <c r="CF6" s="37"/>
      <c r="CG6" s="37"/>
      <c r="CH6" s="37"/>
      <c r="CI6" s="38"/>
      <c r="CJ6" s="100" t="s">
        <v>141</v>
      </c>
      <c r="CK6" s="37"/>
      <c r="CL6" s="37"/>
      <c r="CM6" s="38"/>
      <c r="CN6" s="100" t="s">
        <v>142</v>
      </c>
      <c r="CO6" s="37"/>
      <c r="CP6" s="37"/>
      <c r="CQ6" s="37"/>
      <c r="CR6" s="38"/>
      <c r="CS6" s="100" t="s">
        <v>141</v>
      </c>
      <c r="CT6" s="37"/>
      <c r="CU6" s="37"/>
      <c r="CV6" s="38"/>
      <c r="CW6" s="100" t="s">
        <v>142</v>
      </c>
      <c r="CX6" s="37"/>
      <c r="CY6" s="37"/>
      <c r="CZ6" s="37"/>
      <c r="DA6" s="38"/>
      <c r="DB6" s="100" t="s">
        <v>141</v>
      </c>
      <c r="DC6" s="37"/>
      <c r="DD6" s="37"/>
      <c r="DE6" s="38"/>
      <c r="DF6" s="100" t="s">
        <v>142</v>
      </c>
      <c r="DG6" s="37"/>
      <c r="DH6" s="37"/>
      <c r="DI6" s="37"/>
      <c r="DJ6" s="38"/>
      <c r="DK6" s="135"/>
      <c r="DL6" s="116"/>
    </row>
    <row r="7">
      <c r="B7" s="134"/>
      <c r="C7" s="135"/>
      <c r="F7" s="109"/>
      <c r="G7" s="69" t="s">
        <v>51</v>
      </c>
      <c r="H7" s="137"/>
      <c r="I7" s="62" t="s">
        <v>53</v>
      </c>
      <c r="J7" s="138" t="s">
        <v>49</v>
      </c>
      <c r="K7" s="49"/>
      <c r="L7" s="50"/>
      <c r="M7" s="49"/>
      <c r="N7" s="11"/>
      <c r="O7" s="50"/>
      <c r="P7" s="139" t="s">
        <v>143</v>
      </c>
      <c r="Q7" s="38"/>
      <c r="R7" s="139" t="s">
        <v>144</v>
      </c>
      <c r="S7" s="38"/>
      <c r="T7" s="140" t="s">
        <v>143</v>
      </c>
      <c r="U7" s="37"/>
      <c r="V7" s="38"/>
      <c r="W7" s="140" t="s">
        <v>144</v>
      </c>
      <c r="X7" s="38"/>
      <c r="Y7" s="139" t="s">
        <v>143</v>
      </c>
      <c r="Z7" s="38"/>
      <c r="AA7" s="139" t="s">
        <v>144</v>
      </c>
      <c r="AB7" s="38"/>
      <c r="AC7" s="140" t="s">
        <v>143</v>
      </c>
      <c r="AD7" s="37"/>
      <c r="AE7" s="38"/>
      <c r="AF7" s="140" t="s">
        <v>144</v>
      </c>
      <c r="AG7" s="38"/>
      <c r="AH7" s="139" t="s">
        <v>143</v>
      </c>
      <c r="AI7" s="38"/>
      <c r="AJ7" s="139" t="s">
        <v>144</v>
      </c>
      <c r="AK7" s="38"/>
      <c r="AL7" s="140" t="s">
        <v>143</v>
      </c>
      <c r="AM7" s="37"/>
      <c r="AN7" s="38"/>
      <c r="AO7" s="140" t="s">
        <v>144</v>
      </c>
      <c r="AP7" s="38"/>
      <c r="AQ7" s="139" t="s">
        <v>143</v>
      </c>
      <c r="AR7" s="38"/>
      <c r="AS7" s="139" t="s">
        <v>144</v>
      </c>
      <c r="AT7" s="38"/>
      <c r="AU7" s="140" t="s">
        <v>143</v>
      </c>
      <c r="AV7" s="37"/>
      <c r="AW7" s="38"/>
      <c r="AX7" s="140" t="s">
        <v>144</v>
      </c>
      <c r="AY7" s="38"/>
      <c r="AZ7" s="139" t="s">
        <v>143</v>
      </c>
      <c r="BA7" s="38"/>
      <c r="BB7" s="139" t="s">
        <v>144</v>
      </c>
      <c r="BC7" s="38"/>
      <c r="BD7" s="140" t="s">
        <v>143</v>
      </c>
      <c r="BE7" s="37"/>
      <c r="BF7" s="38"/>
      <c r="BG7" s="140" t="s">
        <v>144</v>
      </c>
      <c r="BH7" s="38"/>
      <c r="BI7" s="139" t="s">
        <v>143</v>
      </c>
      <c r="BJ7" s="38"/>
      <c r="BK7" s="139" t="s">
        <v>144</v>
      </c>
      <c r="BL7" s="38"/>
      <c r="BM7" s="140" t="s">
        <v>143</v>
      </c>
      <c r="BN7" s="37"/>
      <c r="BO7" s="38"/>
      <c r="BP7" s="140" t="s">
        <v>144</v>
      </c>
      <c r="BQ7" s="38"/>
      <c r="BR7" s="139" t="s">
        <v>143</v>
      </c>
      <c r="BS7" s="38"/>
      <c r="BT7" s="139" t="s">
        <v>144</v>
      </c>
      <c r="BU7" s="38"/>
      <c r="BV7" s="140" t="s">
        <v>143</v>
      </c>
      <c r="BW7" s="37"/>
      <c r="BX7" s="38"/>
      <c r="BY7" s="140" t="s">
        <v>144</v>
      </c>
      <c r="BZ7" s="38"/>
      <c r="CA7" s="139" t="s">
        <v>143</v>
      </c>
      <c r="CB7" s="38"/>
      <c r="CC7" s="139" t="s">
        <v>144</v>
      </c>
      <c r="CD7" s="38"/>
      <c r="CE7" s="140" t="s">
        <v>143</v>
      </c>
      <c r="CF7" s="37"/>
      <c r="CG7" s="38"/>
      <c r="CH7" s="140" t="s">
        <v>144</v>
      </c>
      <c r="CI7" s="38"/>
      <c r="CJ7" s="139" t="s">
        <v>143</v>
      </c>
      <c r="CK7" s="38"/>
      <c r="CL7" s="139" t="s">
        <v>144</v>
      </c>
      <c r="CM7" s="38"/>
      <c r="CN7" s="140" t="s">
        <v>143</v>
      </c>
      <c r="CO7" s="37"/>
      <c r="CP7" s="38"/>
      <c r="CQ7" s="140" t="s">
        <v>144</v>
      </c>
      <c r="CR7" s="38"/>
      <c r="CS7" s="139" t="s">
        <v>143</v>
      </c>
      <c r="CT7" s="38"/>
      <c r="CU7" s="139" t="s">
        <v>144</v>
      </c>
      <c r="CV7" s="38"/>
      <c r="CW7" s="140" t="s">
        <v>143</v>
      </c>
      <c r="CX7" s="37"/>
      <c r="CY7" s="38"/>
      <c r="CZ7" s="140" t="s">
        <v>144</v>
      </c>
      <c r="DA7" s="38"/>
      <c r="DB7" s="139" t="s">
        <v>143</v>
      </c>
      <c r="DC7" s="38"/>
      <c r="DD7" s="139" t="s">
        <v>144</v>
      </c>
      <c r="DE7" s="38"/>
      <c r="DF7" s="140" t="s">
        <v>143</v>
      </c>
      <c r="DG7" s="37"/>
      <c r="DH7" s="38"/>
      <c r="DI7" s="140" t="s">
        <v>144</v>
      </c>
      <c r="DJ7" s="38"/>
      <c r="DK7" s="138" t="s">
        <v>51</v>
      </c>
      <c r="DL7" s="141" t="s">
        <v>49</v>
      </c>
    </row>
    <row r="8">
      <c r="B8" s="142"/>
      <c r="C8" s="49"/>
      <c r="D8" s="11"/>
      <c r="E8" s="11"/>
      <c r="F8" s="50"/>
      <c r="G8" s="11"/>
      <c r="H8" s="100" t="s">
        <v>52</v>
      </c>
      <c r="I8" s="18"/>
      <c r="J8" s="18"/>
      <c r="K8" s="143" t="s">
        <v>51</v>
      </c>
      <c r="L8" s="138" t="s">
        <v>49</v>
      </c>
      <c r="M8" s="143" t="s">
        <v>51</v>
      </c>
      <c r="N8" s="138" t="s">
        <v>53</v>
      </c>
      <c r="O8" s="138" t="s">
        <v>49</v>
      </c>
      <c r="P8" s="143" t="s">
        <v>51</v>
      </c>
      <c r="Q8" s="138" t="s">
        <v>49</v>
      </c>
      <c r="R8" s="143" t="s">
        <v>51</v>
      </c>
      <c r="S8" s="138" t="s">
        <v>49</v>
      </c>
      <c r="T8" s="143" t="s">
        <v>51</v>
      </c>
      <c r="U8" s="138" t="s">
        <v>53</v>
      </c>
      <c r="V8" s="138" t="s">
        <v>49</v>
      </c>
      <c r="W8" s="143" t="s">
        <v>51</v>
      </c>
      <c r="X8" s="138" t="s">
        <v>49</v>
      </c>
      <c r="Y8" s="143" t="s">
        <v>51</v>
      </c>
      <c r="Z8" s="138" t="s">
        <v>49</v>
      </c>
      <c r="AA8" s="143" t="s">
        <v>51</v>
      </c>
      <c r="AB8" s="138" t="s">
        <v>49</v>
      </c>
      <c r="AC8" s="143" t="s">
        <v>51</v>
      </c>
      <c r="AD8" s="138" t="s">
        <v>53</v>
      </c>
      <c r="AE8" s="138" t="s">
        <v>49</v>
      </c>
      <c r="AF8" s="143" t="s">
        <v>51</v>
      </c>
      <c r="AG8" s="138" t="s">
        <v>49</v>
      </c>
      <c r="AH8" s="143" t="s">
        <v>51</v>
      </c>
      <c r="AI8" s="138" t="s">
        <v>49</v>
      </c>
      <c r="AJ8" s="143" t="s">
        <v>51</v>
      </c>
      <c r="AK8" s="138" t="s">
        <v>49</v>
      </c>
      <c r="AL8" s="143" t="s">
        <v>51</v>
      </c>
      <c r="AM8" s="138" t="s">
        <v>53</v>
      </c>
      <c r="AN8" s="138" t="s">
        <v>49</v>
      </c>
      <c r="AO8" s="143" t="s">
        <v>51</v>
      </c>
      <c r="AP8" s="138" t="s">
        <v>49</v>
      </c>
      <c r="AQ8" s="143" t="s">
        <v>51</v>
      </c>
      <c r="AR8" s="138" t="s">
        <v>49</v>
      </c>
      <c r="AS8" s="143" t="s">
        <v>51</v>
      </c>
      <c r="AT8" s="138" t="s">
        <v>49</v>
      </c>
      <c r="AU8" s="143" t="s">
        <v>51</v>
      </c>
      <c r="AV8" s="138" t="s">
        <v>53</v>
      </c>
      <c r="AW8" s="138" t="s">
        <v>49</v>
      </c>
      <c r="AX8" s="143" t="s">
        <v>51</v>
      </c>
      <c r="AY8" s="138" t="s">
        <v>49</v>
      </c>
      <c r="AZ8" s="143" t="s">
        <v>51</v>
      </c>
      <c r="BA8" s="138" t="s">
        <v>49</v>
      </c>
      <c r="BB8" s="143" t="s">
        <v>51</v>
      </c>
      <c r="BC8" s="138" t="s">
        <v>49</v>
      </c>
      <c r="BD8" s="143" t="s">
        <v>51</v>
      </c>
      <c r="BE8" s="138" t="s">
        <v>53</v>
      </c>
      <c r="BF8" s="138" t="s">
        <v>49</v>
      </c>
      <c r="BG8" s="143" t="s">
        <v>51</v>
      </c>
      <c r="BH8" s="138" t="s">
        <v>49</v>
      </c>
      <c r="BI8" s="143" t="s">
        <v>51</v>
      </c>
      <c r="BJ8" s="138" t="s">
        <v>49</v>
      </c>
      <c r="BK8" s="143" t="s">
        <v>51</v>
      </c>
      <c r="BL8" s="138" t="s">
        <v>49</v>
      </c>
      <c r="BM8" s="143" t="s">
        <v>51</v>
      </c>
      <c r="BN8" s="138" t="s">
        <v>53</v>
      </c>
      <c r="BO8" s="138" t="s">
        <v>49</v>
      </c>
      <c r="BP8" s="143" t="s">
        <v>51</v>
      </c>
      <c r="BQ8" s="138" t="s">
        <v>49</v>
      </c>
      <c r="BR8" s="143" t="s">
        <v>51</v>
      </c>
      <c r="BS8" s="138" t="s">
        <v>49</v>
      </c>
      <c r="BT8" s="143" t="s">
        <v>51</v>
      </c>
      <c r="BU8" s="138" t="s">
        <v>49</v>
      </c>
      <c r="BV8" s="143" t="s">
        <v>51</v>
      </c>
      <c r="BW8" s="138" t="s">
        <v>53</v>
      </c>
      <c r="BX8" s="138" t="s">
        <v>49</v>
      </c>
      <c r="BY8" s="143" t="s">
        <v>51</v>
      </c>
      <c r="BZ8" s="138" t="s">
        <v>49</v>
      </c>
      <c r="CA8" s="143" t="s">
        <v>51</v>
      </c>
      <c r="CB8" s="138" t="s">
        <v>49</v>
      </c>
      <c r="CC8" s="143" t="s">
        <v>51</v>
      </c>
      <c r="CD8" s="138" t="s">
        <v>49</v>
      </c>
      <c r="CE8" s="143" t="s">
        <v>51</v>
      </c>
      <c r="CF8" s="138" t="s">
        <v>53</v>
      </c>
      <c r="CG8" s="138" t="s">
        <v>49</v>
      </c>
      <c r="CH8" s="143" t="s">
        <v>51</v>
      </c>
      <c r="CI8" s="138" t="s">
        <v>49</v>
      </c>
      <c r="CJ8" s="143" t="s">
        <v>51</v>
      </c>
      <c r="CK8" s="138" t="s">
        <v>49</v>
      </c>
      <c r="CL8" s="143" t="s">
        <v>51</v>
      </c>
      <c r="CM8" s="138" t="s">
        <v>49</v>
      </c>
      <c r="CN8" s="143" t="s">
        <v>51</v>
      </c>
      <c r="CO8" s="138" t="s">
        <v>53</v>
      </c>
      <c r="CP8" s="138" t="s">
        <v>49</v>
      </c>
      <c r="CQ8" s="143" t="s">
        <v>51</v>
      </c>
      <c r="CR8" s="138" t="s">
        <v>49</v>
      </c>
      <c r="CS8" s="143" t="s">
        <v>51</v>
      </c>
      <c r="CT8" s="138" t="s">
        <v>49</v>
      </c>
      <c r="CU8" s="143" t="s">
        <v>51</v>
      </c>
      <c r="CV8" s="138" t="s">
        <v>49</v>
      </c>
      <c r="CW8" s="143" t="s">
        <v>51</v>
      </c>
      <c r="CX8" s="138" t="s">
        <v>53</v>
      </c>
      <c r="CY8" s="138" t="s">
        <v>49</v>
      </c>
      <c r="CZ8" s="143" t="s">
        <v>51</v>
      </c>
      <c r="DA8" s="138" t="s">
        <v>49</v>
      </c>
      <c r="DB8" s="143" t="s">
        <v>51</v>
      </c>
      <c r="DC8" s="138" t="s">
        <v>49</v>
      </c>
      <c r="DD8" s="143" t="s">
        <v>51</v>
      </c>
      <c r="DE8" s="138" t="s">
        <v>49</v>
      </c>
      <c r="DF8" s="143" t="s">
        <v>51</v>
      </c>
      <c r="DG8" s="138" t="s">
        <v>53</v>
      </c>
      <c r="DH8" s="138" t="s">
        <v>49</v>
      </c>
      <c r="DI8" s="143" t="s">
        <v>51</v>
      </c>
      <c r="DJ8" s="138" t="s">
        <v>49</v>
      </c>
      <c r="DK8" s="18"/>
      <c r="DL8" s="144"/>
    </row>
    <row r="9">
      <c r="A9" s="66"/>
      <c r="B9" s="145">
        <v>1.0</v>
      </c>
      <c r="C9" s="136">
        <v>2.0</v>
      </c>
      <c r="D9" s="5"/>
      <c r="E9" s="5"/>
      <c r="F9" s="23"/>
      <c r="G9" s="138">
        <v>3.0</v>
      </c>
      <c r="H9" s="138">
        <v>4.0</v>
      </c>
      <c r="I9" s="138">
        <v>4.0</v>
      </c>
      <c r="J9" s="143">
        <v>5.0</v>
      </c>
      <c r="K9" s="143">
        <f t="shared" ref="K9:DL9" si="2">J9+1</f>
        <v>6</v>
      </c>
      <c r="L9" s="143">
        <f t="shared" si="2"/>
        <v>7</v>
      </c>
      <c r="M9" s="143">
        <f t="shared" si="2"/>
        <v>8</v>
      </c>
      <c r="N9" s="143">
        <f t="shared" si="2"/>
        <v>9</v>
      </c>
      <c r="O9" s="143">
        <f t="shared" si="2"/>
        <v>10</v>
      </c>
      <c r="P9" s="143">
        <f t="shared" si="2"/>
        <v>11</v>
      </c>
      <c r="Q9" s="143">
        <f t="shared" si="2"/>
        <v>12</v>
      </c>
      <c r="R9" s="143">
        <f t="shared" si="2"/>
        <v>13</v>
      </c>
      <c r="S9" s="143">
        <f t="shared" si="2"/>
        <v>14</v>
      </c>
      <c r="T9" s="143">
        <f t="shared" si="2"/>
        <v>15</v>
      </c>
      <c r="U9" s="143">
        <f t="shared" si="2"/>
        <v>16</v>
      </c>
      <c r="V9" s="143">
        <f t="shared" si="2"/>
        <v>17</v>
      </c>
      <c r="W9" s="143">
        <f t="shared" si="2"/>
        <v>18</v>
      </c>
      <c r="X9" s="143">
        <f t="shared" si="2"/>
        <v>19</v>
      </c>
      <c r="Y9" s="143">
        <f t="shared" si="2"/>
        <v>20</v>
      </c>
      <c r="Z9" s="143">
        <f t="shared" si="2"/>
        <v>21</v>
      </c>
      <c r="AA9" s="143">
        <f t="shared" si="2"/>
        <v>22</v>
      </c>
      <c r="AB9" s="143">
        <f t="shared" si="2"/>
        <v>23</v>
      </c>
      <c r="AC9" s="143">
        <f t="shared" si="2"/>
        <v>24</v>
      </c>
      <c r="AD9" s="143">
        <f t="shared" si="2"/>
        <v>25</v>
      </c>
      <c r="AE9" s="143">
        <f t="shared" si="2"/>
        <v>26</v>
      </c>
      <c r="AF9" s="143">
        <f t="shared" si="2"/>
        <v>27</v>
      </c>
      <c r="AG9" s="143">
        <f t="shared" si="2"/>
        <v>28</v>
      </c>
      <c r="AH9" s="143">
        <f t="shared" si="2"/>
        <v>29</v>
      </c>
      <c r="AI9" s="143">
        <f t="shared" si="2"/>
        <v>30</v>
      </c>
      <c r="AJ9" s="143">
        <f t="shared" si="2"/>
        <v>31</v>
      </c>
      <c r="AK9" s="143">
        <f t="shared" si="2"/>
        <v>32</v>
      </c>
      <c r="AL9" s="143">
        <f t="shared" si="2"/>
        <v>33</v>
      </c>
      <c r="AM9" s="143">
        <f t="shared" si="2"/>
        <v>34</v>
      </c>
      <c r="AN9" s="143">
        <f t="shared" si="2"/>
        <v>35</v>
      </c>
      <c r="AO9" s="143">
        <f t="shared" si="2"/>
        <v>36</v>
      </c>
      <c r="AP9" s="143">
        <f t="shared" si="2"/>
        <v>37</v>
      </c>
      <c r="AQ9" s="143">
        <f t="shared" si="2"/>
        <v>38</v>
      </c>
      <c r="AR9" s="143">
        <f t="shared" si="2"/>
        <v>39</v>
      </c>
      <c r="AS9" s="143">
        <f t="shared" si="2"/>
        <v>40</v>
      </c>
      <c r="AT9" s="143">
        <f t="shared" si="2"/>
        <v>41</v>
      </c>
      <c r="AU9" s="143">
        <f t="shared" si="2"/>
        <v>42</v>
      </c>
      <c r="AV9" s="143">
        <f t="shared" si="2"/>
        <v>43</v>
      </c>
      <c r="AW9" s="143">
        <f t="shared" si="2"/>
        <v>44</v>
      </c>
      <c r="AX9" s="143">
        <f t="shared" si="2"/>
        <v>45</v>
      </c>
      <c r="AY9" s="143">
        <f t="shared" si="2"/>
        <v>46</v>
      </c>
      <c r="AZ9" s="143">
        <f t="shared" si="2"/>
        <v>47</v>
      </c>
      <c r="BA9" s="143">
        <f t="shared" si="2"/>
        <v>48</v>
      </c>
      <c r="BB9" s="143">
        <f t="shared" si="2"/>
        <v>49</v>
      </c>
      <c r="BC9" s="143">
        <f t="shared" si="2"/>
        <v>50</v>
      </c>
      <c r="BD9" s="143">
        <f t="shared" si="2"/>
        <v>51</v>
      </c>
      <c r="BE9" s="143">
        <f t="shared" si="2"/>
        <v>52</v>
      </c>
      <c r="BF9" s="143">
        <f t="shared" si="2"/>
        <v>53</v>
      </c>
      <c r="BG9" s="143">
        <f t="shared" si="2"/>
        <v>54</v>
      </c>
      <c r="BH9" s="143">
        <f t="shared" si="2"/>
        <v>55</v>
      </c>
      <c r="BI9" s="143">
        <f t="shared" si="2"/>
        <v>56</v>
      </c>
      <c r="BJ9" s="143">
        <f t="shared" si="2"/>
        <v>57</v>
      </c>
      <c r="BK9" s="143">
        <f t="shared" si="2"/>
        <v>58</v>
      </c>
      <c r="BL9" s="143">
        <f t="shared" si="2"/>
        <v>59</v>
      </c>
      <c r="BM9" s="143">
        <f t="shared" si="2"/>
        <v>60</v>
      </c>
      <c r="BN9" s="143">
        <f t="shared" si="2"/>
        <v>61</v>
      </c>
      <c r="BO9" s="143">
        <f t="shared" si="2"/>
        <v>62</v>
      </c>
      <c r="BP9" s="143">
        <f t="shared" si="2"/>
        <v>63</v>
      </c>
      <c r="BQ9" s="143">
        <f t="shared" si="2"/>
        <v>64</v>
      </c>
      <c r="BR9" s="143">
        <f t="shared" si="2"/>
        <v>65</v>
      </c>
      <c r="BS9" s="143">
        <f t="shared" si="2"/>
        <v>66</v>
      </c>
      <c r="BT9" s="143">
        <f t="shared" si="2"/>
        <v>67</v>
      </c>
      <c r="BU9" s="143">
        <f t="shared" si="2"/>
        <v>68</v>
      </c>
      <c r="BV9" s="143">
        <f t="shared" si="2"/>
        <v>69</v>
      </c>
      <c r="BW9" s="143">
        <f t="shared" si="2"/>
        <v>70</v>
      </c>
      <c r="BX9" s="143">
        <f t="shared" si="2"/>
        <v>71</v>
      </c>
      <c r="BY9" s="143">
        <f t="shared" si="2"/>
        <v>72</v>
      </c>
      <c r="BZ9" s="143">
        <f t="shared" si="2"/>
        <v>73</v>
      </c>
      <c r="CA9" s="143">
        <f t="shared" si="2"/>
        <v>74</v>
      </c>
      <c r="CB9" s="143">
        <f t="shared" si="2"/>
        <v>75</v>
      </c>
      <c r="CC9" s="143">
        <f t="shared" si="2"/>
        <v>76</v>
      </c>
      <c r="CD9" s="143">
        <f t="shared" si="2"/>
        <v>77</v>
      </c>
      <c r="CE9" s="143">
        <f t="shared" si="2"/>
        <v>78</v>
      </c>
      <c r="CF9" s="143">
        <f t="shared" si="2"/>
        <v>79</v>
      </c>
      <c r="CG9" s="143">
        <f t="shared" si="2"/>
        <v>80</v>
      </c>
      <c r="CH9" s="143">
        <f t="shared" si="2"/>
        <v>81</v>
      </c>
      <c r="CI9" s="143">
        <f t="shared" si="2"/>
        <v>82</v>
      </c>
      <c r="CJ9" s="143">
        <f t="shared" si="2"/>
        <v>83</v>
      </c>
      <c r="CK9" s="143">
        <f t="shared" si="2"/>
        <v>84</v>
      </c>
      <c r="CL9" s="143">
        <f t="shared" si="2"/>
        <v>85</v>
      </c>
      <c r="CM9" s="143">
        <f t="shared" si="2"/>
        <v>86</v>
      </c>
      <c r="CN9" s="143">
        <f t="shared" si="2"/>
        <v>87</v>
      </c>
      <c r="CO9" s="143">
        <f t="shared" si="2"/>
        <v>88</v>
      </c>
      <c r="CP9" s="143">
        <f t="shared" si="2"/>
        <v>89</v>
      </c>
      <c r="CQ9" s="143">
        <f t="shared" si="2"/>
        <v>90</v>
      </c>
      <c r="CR9" s="143">
        <f t="shared" si="2"/>
        <v>91</v>
      </c>
      <c r="CS9" s="143">
        <f t="shared" si="2"/>
        <v>92</v>
      </c>
      <c r="CT9" s="143">
        <f t="shared" si="2"/>
        <v>93</v>
      </c>
      <c r="CU9" s="143">
        <f t="shared" si="2"/>
        <v>94</v>
      </c>
      <c r="CV9" s="143">
        <f t="shared" si="2"/>
        <v>95</v>
      </c>
      <c r="CW9" s="143">
        <f t="shared" si="2"/>
        <v>96</v>
      </c>
      <c r="CX9" s="143">
        <f t="shared" si="2"/>
        <v>97</v>
      </c>
      <c r="CY9" s="143">
        <f t="shared" si="2"/>
        <v>98</v>
      </c>
      <c r="CZ9" s="143">
        <f t="shared" si="2"/>
        <v>99</v>
      </c>
      <c r="DA9" s="143">
        <f t="shared" si="2"/>
        <v>100</v>
      </c>
      <c r="DB9" s="143">
        <f t="shared" si="2"/>
        <v>101</v>
      </c>
      <c r="DC9" s="143">
        <f t="shared" si="2"/>
        <v>102</v>
      </c>
      <c r="DD9" s="143">
        <f t="shared" si="2"/>
        <v>103</v>
      </c>
      <c r="DE9" s="143">
        <f t="shared" si="2"/>
        <v>104</v>
      </c>
      <c r="DF9" s="143">
        <f t="shared" si="2"/>
        <v>105</v>
      </c>
      <c r="DG9" s="143">
        <f t="shared" si="2"/>
        <v>106</v>
      </c>
      <c r="DH9" s="143">
        <f t="shared" si="2"/>
        <v>107</v>
      </c>
      <c r="DI9" s="143">
        <f t="shared" si="2"/>
        <v>108</v>
      </c>
      <c r="DJ9" s="143">
        <f t="shared" si="2"/>
        <v>109</v>
      </c>
      <c r="DK9" s="143">
        <f t="shared" si="2"/>
        <v>110</v>
      </c>
      <c r="DL9" s="146">
        <f t="shared" si="2"/>
        <v>111</v>
      </c>
    </row>
    <row r="10">
      <c r="A10" s="66"/>
      <c r="B10" s="147">
        <v>5.0</v>
      </c>
      <c r="C10" s="67" t="str">
        <f>DPA!C31</f>
        <v>BELANJA DAERAH</v>
      </c>
      <c r="D10" s="138"/>
      <c r="E10" s="138"/>
      <c r="F10" s="138"/>
      <c r="G10" s="138"/>
      <c r="H10" s="138"/>
      <c r="I10" s="138"/>
      <c r="J10" s="148">
        <f>DPA!S31</f>
        <v>94371800</v>
      </c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49"/>
      <c r="DL10" s="136"/>
    </row>
    <row r="11">
      <c r="A11" s="72"/>
      <c r="B11" s="150" t="str">
        <f>DPA!B32</f>
        <v>5.1</v>
      </c>
      <c r="C11" s="76" t="str">
        <f>DPA!C32</f>
        <v>BELANJA OPERASI</v>
      </c>
      <c r="D11" s="76"/>
      <c r="E11" s="76"/>
      <c r="F11" s="76"/>
      <c r="G11" s="76"/>
      <c r="H11" s="76"/>
      <c r="I11" s="151"/>
      <c r="J11" s="152">
        <f>DPA!S32</f>
        <v>32999400</v>
      </c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151"/>
      <c r="BN11" s="151"/>
      <c r="BO11" s="151"/>
      <c r="BP11" s="151"/>
      <c r="BQ11" s="151"/>
      <c r="BR11" s="151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151"/>
      <c r="CD11" s="151"/>
      <c r="CE11" s="151"/>
      <c r="CF11" s="151"/>
      <c r="CG11" s="151"/>
      <c r="CH11" s="151"/>
      <c r="CI11" s="151"/>
      <c r="CJ11" s="151"/>
      <c r="CK11" s="151"/>
      <c r="CL11" s="151"/>
      <c r="CM11" s="151"/>
      <c r="CN11" s="151"/>
      <c r="CO11" s="151"/>
      <c r="CP11" s="151"/>
      <c r="CQ11" s="151"/>
      <c r="CR11" s="151"/>
      <c r="CS11" s="151"/>
      <c r="CT11" s="151"/>
      <c r="CU11" s="151"/>
      <c r="CV11" s="151"/>
      <c r="CW11" s="151"/>
      <c r="CX11" s="151"/>
      <c r="CY11" s="151"/>
      <c r="CZ11" s="151"/>
      <c r="DA11" s="151"/>
      <c r="DB11" s="151"/>
      <c r="DC11" s="151"/>
      <c r="DD11" s="151"/>
      <c r="DE11" s="151"/>
      <c r="DF11" s="151"/>
      <c r="DG11" s="151"/>
      <c r="DH11" s="151"/>
      <c r="DI11" s="151"/>
      <c r="DJ11" s="151"/>
      <c r="DK11" s="72"/>
      <c r="DL11" s="151"/>
    </row>
    <row r="12" ht="7.5" customHeight="1">
      <c r="A12" s="72"/>
      <c r="B12" s="153"/>
      <c r="C12" s="80"/>
      <c r="D12" s="72"/>
      <c r="E12" s="72"/>
      <c r="F12" s="154"/>
      <c r="G12" s="81"/>
      <c r="H12" s="81"/>
      <c r="I12" s="84"/>
      <c r="J12" s="155"/>
      <c r="K12" s="84"/>
      <c r="L12" s="84"/>
      <c r="M12" s="84"/>
      <c r="N12" s="84"/>
      <c r="O12" s="84"/>
      <c r="P12" s="84"/>
      <c r="Q12" s="83"/>
      <c r="R12" s="84"/>
      <c r="S12" s="83"/>
      <c r="T12" s="84"/>
      <c r="U12" s="84"/>
      <c r="V12" s="83"/>
      <c r="W12" s="84"/>
      <c r="X12" s="83"/>
      <c r="Y12" s="84"/>
      <c r="Z12" s="83"/>
      <c r="AA12" s="84"/>
      <c r="AB12" s="83"/>
      <c r="AC12" s="84"/>
      <c r="AD12" s="84"/>
      <c r="AE12" s="83"/>
      <c r="AF12" s="84"/>
      <c r="AG12" s="83"/>
      <c r="AH12" s="84"/>
      <c r="AI12" s="83"/>
      <c r="AJ12" s="84"/>
      <c r="AK12" s="83"/>
      <c r="AL12" s="84"/>
      <c r="AM12" s="84"/>
      <c r="AN12" s="83"/>
      <c r="AO12" s="84"/>
      <c r="AP12" s="83"/>
      <c r="AQ12" s="84"/>
      <c r="AR12" s="83"/>
      <c r="AS12" s="84"/>
      <c r="AT12" s="83"/>
      <c r="AU12" s="84"/>
      <c r="AV12" s="84"/>
      <c r="AW12" s="83"/>
      <c r="AX12" s="84"/>
      <c r="AY12" s="83"/>
      <c r="AZ12" s="84"/>
      <c r="BA12" s="83"/>
      <c r="BB12" s="84"/>
      <c r="BC12" s="83"/>
      <c r="BD12" s="84"/>
      <c r="BE12" s="84"/>
      <c r="BF12" s="83"/>
      <c r="BG12" s="84"/>
      <c r="BH12" s="83"/>
      <c r="BI12" s="84"/>
      <c r="BJ12" s="83"/>
      <c r="BK12" s="84"/>
      <c r="BL12" s="83"/>
      <c r="BM12" s="84"/>
      <c r="BN12" s="84"/>
      <c r="BO12" s="83"/>
      <c r="BP12" s="84"/>
      <c r="BQ12" s="83"/>
      <c r="BR12" s="84"/>
      <c r="BS12" s="83"/>
      <c r="BT12" s="84"/>
      <c r="BU12" s="83"/>
      <c r="BV12" s="84"/>
      <c r="BW12" s="84"/>
      <c r="BX12" s="83"/>
      <c r="BY12" s="84"/>
      <c r="BZ12" s="83"/>
      <c r="CA12" s="84"/>
      <c r="CB12" s="83"/>
      <c r="CC12" s="84"/>
      <c r="CD12" s="83"/>
      <c r="CE12" s="84"/>
      <c r="CF12" s="84"/>
      <c r="CG12" s="83"/>
      <c r="CH12" s="84"/>
      <c r="CI12" s="83"/>
      <c r="CJ12" s="84"/>
      <c r="CK12" s="83"/>
      <c r="CL12" s="84"/>
      <c r="CM12" s="83"/>
      <c r="CN12" s="84"/>
      <c r="CO12" s="84"/>
      <c r="CP12" s="83"/>
      <c r="CQ12" s="84"/>
      <c r="CR12" s="83"/>
      <c r="CS12" s="84"/>
      <c r="CT12" s="83"/>
      <c r="CU12" s="84"/>
      <c r="CV12" s="83"/>
      <c r="CW12" s="84"/>
      <c r="CX12" s="84"/>
      <c r="CY12" s="83"/>
      <c r="CZ12" s="84"/>
      <c r="DA12" s="83"/>
      <c r="DB12" s="84"/>
      <c r="DC12" s="83"/>
      <c r="DD12" s="84"/>
      <c r="DE12" s="83"/>
      <c r="DF12" s="84"/>
      <c r="DG12" s="84"/>
      <c r="DH12" s="83"/>
      <c r="DI12" s="84"/>
      <c r="DJ12" s="83"/>
      <c r="DK12" s="72"/>
      <c r="DL12" s="83"/>
    </row>
    <row r="13">
      <c r="A13" s="72"/>
      <c r="B13" s="153" t="str">
        <f>DPA!B34</f>
        <v> 5.2.2.</v>
      </c>
      <c r="C13" s="80" t="str">
        <f>DPA!C34</f>
        <v> Belanja Barang dan Jasa</v>
      </c>
      <c r="D13" s="72"/>
      <c r="E13" s="72"/>
      <c r="F13" s="154"/>
      <c r="G13" s="81"/>
      <c r="H13" s="81"/>
      <c r="I13" s="84"/>
      <c r="J13" s="155">
        <f>DPA!S34</f>
        <v>32999400</v>
      </c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72"/>
      <c r="DL13" s="84"/>
    </row>
    <row r="14">
      <c r="A14" s="72"/>
      <c r="B14" s="153"/>
      <c r="C14" s="80"/>
      <c r="D14" s="72"/>
      <c r="E14" s="72"/>
      <c r="F14" s="154"/>
      <c r="G14" s="81"/>
      <c r="H14" s="81"/>
      <c r="I14" s="84"/>
      <c r="J14" s="155"/>
      <c r="K14" s="84"/>
      <c r="L14" s="84"/>
      <c r="M14" s="84"/>
      <c r="N14" s="84"/>
      <c r="O14" s="84"/>
      <c r="P14" s="84"/>
      <c r="Q14" s="83"/>
      <c r="R14" s="84"/>
      <c r="S14" s="83"/>
      <c r="T14" s="84"/>
      <c r="U14" s="84"/>
      <c r="V14" s="83"/>
      <c r="W14" s="84"/>
      <c r="X14" s="83"/>
      <c r="Y14" s="84"/>
      <c r="Z14" s="83"/>
      <c r="AA14" s="84"/>
      <c r="AB14" s="83"/>
      <c r="AC14" s="84"/>
      <c r="AD14" s="84"/>
      <c r="AE14" s="83"/>
      <c r="AF14" s="84"/>
      <c r="AG14" s="83"/>
      <c r="AH14" s="84"/>
      <c r="AI14" s="83"/>
      <c r="AJ14" s="84"/>
      <c r="AK14" s="83"/>
      <c r="AL14" s="84"/>
      <c r="AM14" s="84"/>
      <c r="AN14" s="83"/>
      <c r="AO14" s="84"/>
      <c r="AP14" s="83"/>
      <c r="AQ14" s="84"/>
      <c r="AR14" s="83"/>
      <c r="AS14" s="84"/>
      <c r="AT14" s="83"/>
      <c r="AU14" s="84"/>
      <c r="AV14" s="84"/>
      <c r="AW14" s="83"/>
      <c r="AX14" s="84"/>
      <c r="AY14" s="83"/>
      <c r="AZ14" s="84"/>
      <c r="BA14" s="83"/>
      <c r="BB14" s="84"/>
      <c r="BC14" s="83"/>
      <c r="BD14" s="84"/>
      <c r="BE14" s="84"/>
      <c r="BF14" s="83"/>
      <c r="BG14" s="84"/>
      <c r="BH14" s="83"/>
      <c r="BI14" s="84"/>
      <c r="BJ14" s="83"/>
      <c r="BK14" s="84"/>
      <c r="BL14" s="83"/>
      <c r="BM14" s="84"/>
      <c r="BN14" s="84"/>
      <c r="BO14" s="83"/>
      <c r="BP14" s="84"/>
      <c r="BQ14" s="83"/>
      <c r="BR14" s="84"/>
      <c r="BS14" s="83"/>
      <c r="BT14" s="84"/>
      <c r="BU14" s="83"/>
      <c r="BV14" s="84"/>
      <c r="BW14" s="84"/>
      <c r="BX14" s="83"/>
      <c r="BY14" s="84"/>
      <c r="BZ14" s="83"/>
      <c r="CA14" s="84"/>
      <c r="CB14" s="83"/>
      <c r="CC14" s="84"/>
      <c r="CD14" s="83"/>
      <c r="CE14" s="84"/>
      <c r="CF14" s="84"/>
      <c r="CG14" s="83"/>
      <c r="CH14" s="84"/>
      <c r="CI14" s="83"/>
      <c r="CJ14" s="84"/>
      <c r="CK14" s="83"/>
      <c r="CL14" s="84"/>
      <c r="CM14" s="83"/>
      <c r="CN14" s="84"/>
      <c r="CO14" s="84"/>
      <c r="CP14" s="83"/>
      <c r="CQ14" s="84"/>
      <c r="CR14" s="83"/>
      <c r="CS14" s="84"/>
      <c r="CT14" s="83"/>
      <c r="CU14" s="84"/>
      <c r="CV14" s="83"/>
      <c r="CW14" s="84"/>
      <c r="CX14" s="84"/>
      <c r="CY14" s="83"/>
      <c r="CZ14" s="84"/>
      <c r="DA14" s="83"/>
      <c r="DB14" s="84"/>
      <c r="DC14" s="83"/>
      <c r="DD14" s="84"/>
      <c r="DE14" s="83"/>
      <c r="DF14" s="84"/>
      <c r="DG14" s="84"/>
      <c r="DH14" s="83"/>
      <c r="DI14" s="84"/>
      <c r="DJ14" s="83"/>
      <c r="DK14" s="72"/>
      <c r="DL14" s="83"/>
    </row>
    <row r="15">
      <c r="A15" s="72"/>
      <c r="B15" s="153" t="str">
        <f>DPA!B36</f>
        <v> 5.2.2.01</v>
      </c>
      <c r="C15" s="80" t="str">
        <f>DPA!C36</f>
        <v>Belanja Bahan Pakai Habis</v>
      </c>
      <c r="D15" s="72"/>
      <c r="E15" s="72"/>
      <c r="F15" s="154"/>
      <c r="G15" s="81"/>
      <c r="H15" s="81"/>
      <c r="I15" s="84"/>
      <c r="J15" s="155">
        <f>DPA!S36</f>
        <v>1791400</v>
      </c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72"/>
      <c r="DL15" s="84"/>
    </row>
    <row r="16">
      <c r="A16" s="72"/>
      <c r="B16" s="153"/>
      <c r="C16" s="80"/>
      <c r="D16" s="72"/>
      <c r="E16" s="72"/>
      <c r="F16" s="154"/>
      <c r="G16" s="81"/>
      <c r="H16" s="81"/>
      <c r="I16" s="84"/>
      <c r="J16" s="156"/>
      <c r="K16" s="84"/>
      <c r="L16" s="84"/>
      <c r="M16" s="84"/>
      <c r="N16" s="84"/>
      <c r="O16" s="84"/>
      <c r="P16" s="84"/>
      <c r="Q16" s="83"/>
      <c r="R16" s="84"/>
      <c r="S16" s="83"/>
      <c r="T16" s="84"/>
      <c r="U16" s="84"/>
      <c r="V16" s="83"/>
      <c r="W16" s="84"/>
      <c r="X16" s="83"/>
      <c r="Y16" s="84"/>
      <c r="Z16" s="83"/>
      <c r="AA16" s="84"/>
      <c r="AB16" s="83"/>
      <c r="AC16" s="84"/>
      <c r="AD16" s="84"/>
      <c r="AE16" s="83"/>
      <c r="AF16" s="84"/>
      <c r="AG16" s="83"/>
      <c r="AH16" s="84"/>
      <c r="AI16" s="83"/>
      <c r="AJ16" s="84"/>
      <c r="AK16" s="83"/>
      <c r="AL16" s="84"/>
      <c r="AM16" s="84"/>
      <c r="AN16" s="83"/>
      <c r="AO16" s="84"/>
      <c r="AP16" s="83"/>
      <c r="AQ16" s="84"/>
      <c r="AR16" s="83"/>
      <c r="AS16" s="84"/>
      <c r="AT16" s="83"/>
      <c r="AU16" s="84"/>
      <c r="AV16" s="84"/>
      <c r="AW16" s="83"/>
      <c r="AX16" s="84"/>
      <c r="AY16" s="83"/>
      <c r="AZ16" s="84"/>
      <c r="BA16" s="83"/>
      <c r="BB16" s="84"/>
      <c r="BC16" s="83"/>
      <c r="BD16" s="84"/>
      <c r="BE16" s="84"/>
      <c r="BF16" s="83"/>
      <c r="BG16" s="84"/>
      <c r="BH16" s="83"/>
      <c r="BI16" s="84"/>
      <c r="BJ16" s="83"/>
      <c r="BK16" s="84"/>
      <c r="BL16" s="83"/>
      <c r="BM16" s="84"/>
      <c r="BN16" s="84"/>
      <c r="BO16" s="83"/>
      <c r="BP16" s="84"/>
      <c r="BQ16" s="83"/>
      <c r="BR16" s="84"/>
      <c r="BS16" s="83"/>
      <c r="BT16" s="84"/>
      <c r="BU16" s="83"/>
      <c r="BV16" s="84"/>
      <c r="BW16" s="84"/>
      <c r="BX16" s="83"/>
      <c r="BY16" s="84"/>
      <c r="BZ16" s="83"/>
      <c r="CA16" s="84"/>
      <c r="CB16" s="83"/>
      <c r="CC16" s="84"/>
      <c r="CD16" s="83"/>
      <c r="CE16" s="84"/>
      <c r="CF16" s="84"/>
      <c r="CG16" s="83"/>
      <c r="CH16" s="84"/>
      <c r="CI16" s="83"/>
      <c r="CJ16" s="84"/>
      <c r="CK16" s="83"/>
      <c r="CL16" s="84"/>
      <c r="CM16" s="83"/>
      <c r="CN16" s="84"/>
      <c r="CO16" s="84"/>
      <c r="CP16" s="83"/>
      <c r="CQ16" s="84"/>
      <c r="CR16" s="83"/>
      <c r="CS16" s="84"/>
      <c r="CT16" s="83"/>
      <c r="CU16" s="84"/>
      <c r="CV16" s="83"/>
      <c r="CW16" s="84"/>
      <c r="CX16" s="84"/>
      <c r="CY16" s="83"/>
      <c r="CZ16" s="84"/>
      <c r="DA16" s="83"/>
      <c r="DB16" s="84"/>
      <c r="DC16" s="83"/>
      <c r="DD16" s="84"/>
      <c r="DE16" s="83"/>
      <c r="DF16" s="84"/>
      <c r="DG16" s="84"/>
      <c r="DH16" s="83"/>
      <c r="DI16" s="84"/>
      <c r="DJ16" s="83"/>
      <c r="DK16" s="72"/>
      <c r="DL16" s="83"/>
    </row>
    <row r="17">
      <c r="A17" s="8"/>
      <c r="B17" s="153" t="str">
        <f>DPA!B38</f>
        <v>5.1.02.01.01.0024</v>
      </c>
      <c r="C17" s="80" t="str">
        <f>DPA!C38</f>
        <v>Belanja Alat/Bahan untuk Kegiatan Kantor-Alat Tulis Kantor</v>
      </c>
      <c r="D17" s="72"/>
      <c r="E17" s="72"/>
      <c r="F17" s="154"/>
      <c r="G17" s="81"/>
      <c r="H17" s="81"/>
      <c r="I17" s="84"/>
      <c r="J17" s="156">
        <f>DPA!S38</f>
        <v>656000</v>
      </c>
      <c r="K17" s="89"/>
      <c r="L17" s="89"/>
      <c r="M17" s="89"/>
      <c r="N17" s="89"/>
      <c r="O17" s="89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"/>
      <c r="DL17" s="84"/>
    </row>
    <row r="18">
      <c r="A18" s="157"/>
      <c r="B18" s="79"/>
      <c r="C18" s="80"/>
      <c r="D18" s="8" t="str">
        <f>DPA!D39</f>
        <v>-</v>
      </c>
      <c r="E18" s="8" t="str">
        <f>DPA!E39</f>
        <v>Alat Tulis Kantor
Spesifikasi : Stof Map Folio</v>
      </c>
      <c r="F18" s="154"/>
      <c r="G18" s="89">
        <f>DPA!P39</f>
        <v>100</v>
      </c>
      <c r="H18" s="158" t="str">
        <f>DPA!Q39</f>
        <v>Buah</v>
      </c>
      <c r="I18" s="89">
        <f>DPA!R39</f>
        <v>3300</v>
      </c>
      <c r="J18" s="156">
        <f>DPA!S39</f>
        <v>330000</v>
      </c>
      <c r="K18" s="159"/>
      <c r="L18" s="160"/>
      <c r="M18" s="159"/>
      <c r="N18" s="161"/>
      <c r="O18" s="89"/>
      <c r="P18" s="162"/>
      <c r="Q18" s="160"/>
      <c r="R18" s="91"/>
      <c r="S18" s="89"/>
      <c r="T18" s="162"/>
      <c r="U18" s="161"/>
      <c r="V18" s="89"/>
      <c r="W18" s="91"/>
      <c r="X18" s="89"/>
      <c r="Y18" s="162"/>
      <c r="Z18" s="160"/>
      <c r="AA18" s="91"/>
      <c r="AB18" s="89"/>
      <c r="AC18" s="162"/>
      <c r="AD18" s="161"/>
      <c r="AE18" s="89"/>
      <c r="AF18" s="91"/>
      <c r="AG18" s="89"/>
      <c r="AH18" s="162"/>
      <c r="AI18" s="160"/>
      <c r="AJ18" s="91"/>
      <c r="AK18" s="89"/>
      <c r="AL18" s="162"/>
      <c r="AM18" s="161"/>
      <c r="AN18" s="89"/>
      <c r="AO18" s="91"/>
      <c r="AP18" s="89"/>
      <c r="AQ18" s="162"/>
      <c r="AR18" s="160"/>
      <c r="AS18" s="91"/>
      <c r="AT18" s="89"/>
      <c r="AU18" s="162"/>
      <c r="AV18" s="161"/>
      <c r="AW18" s="89"/>
      <c r="AX18" s="91"/>
      <c r="AY18" s="89"/>
      <c r="AZ18" s="162"/>
      <c r="BA18" s="160"/>
      <c r="BB18" s="91"/>
      <c r="BC18" s="89"/>
      <c r="BD18" s="162"/>
      <c r="BE18" s="161"/>
      <c r="BF18" s="89"/>
      <c r="BG18" s="91"/>
      <c r="BH18" s="89"/>
      <c r="BI18" s="162"/>
      <c r="BJ18" s="160"/>
      <c r="BK18" s="91"/>
      <c r="BL18" s="89"/>
      <c r="BM18" s="162"/>
      <c r="BN18" s="161"/>
      <c r="BO18" s="89"/>
      <c r="BP18" s="91"/>
      <c r="BQ18" s="89"/>
      <c r="BR18" s="162"/>
      <c r="BS18" s="160"/>
      <c r="BT18" s="91"/>
      <c r="BU18" s="89"/>
      <c r="BV18" s="162"/>
      <c r="BW18" s="161"/>
      <c r="BX18" s="89"/>
      <c r="BY18" s="91"/>
      <c r="BZ18" s="89"/>
      <c r="CA18" s="162"/>
      <c r="CB18" s="160"/>
      <c r="CC18" s="91"/>
      <c r="CD18" s="89"/>
      <c r="CE18" s="162"/>
      <c r="CF18" s="161"/>
      <c r="CG18" s="89"/>
      <c r="CH18" s="91"/>
      <c r="CI18" s="89"/>
      <c r="CJ18" s="162"/>
      <c r="CK18" s="160"/>
      <c r="CL18" s="91"/>
      <c r="CM18" s="89"/>
      <c r="CN18" s="162"/>
      <c r="CO18" s="161"/>
      <c r="CP18" s="89"/>
      <c r="CQ18" s="91"/>
      <c r="CR18" s="89"/>
      <c r="CS18" s="162"/>
      <c r="CT18" s="160"/>
      <c r="CU18" s="91"/>
      <c r="CV18" s="89"/>
      <c r="CW18" s="162"/>
      <c r="CX18" s="161"/>
      <c r="CY18" s="89"/>
      <c r="CZ18" s="91"/>
      <c r="DA18" s="89"/>
      <c r="DB18" s="162"/>
      <c r="DC18" s="160"/>
      <c r="DD18" s="91"/>
      <c r="DE18" s="89"/>
      <c r="DF18" s="162"/>
      <c r="DG18" s="161"/>
      <c r="DH18" s="89"/>
      <c r="DI18" s="91"/>
      <c r="DJ18" s="89"/>
      <c r="DK18" s="89"/>
      <c r="DL18" s="89"/>
    </row>
    <row r="19">
      <c r="A19" s="157"/>
      <c r="B19" s="79"/>
      <c r="C19" s="80"/>
      <c r="D19" s="8" t="str">
        <f>DPA!D40</f>
        <v>-</v>
      </c>
      <c r="E19" s="8" t="str">
        <f>DPA!E40</f>
        <v>Alat Tulis Kantor
Spesifikasi : Trigonal Clip No. 5 Atom</v>
      </c>
      <c r="F19" s="154"/>
      <c r="G19" s="89">
        <f>DPA!P40</f>
        <v>5</v>
      </c>
      <c r="H19" s="158" t="str">
        <f>DPA!Q40</f>
        <v>Lusin</v>
      </c>
      <c r="I19" s="89">
        <f>DPA!R40</f>
        <v>13200</v>
      </c>
      <c r="J19" s="156">
        <f>DPA!S40</f>
        <v>66000</v>
      </c>
      <c r="K19" s="159"/>
      <c r="L19" s="160"/>
      <c r="M19" s="159"/>
      <c r="N19" s="161"/>
      <c r="O19" s="89"/>
      <c r="P19" s="162"/>
      <c r="Q19" s="160"/>
      <c r="R19" s="91"/>
      <c r="S19" s="89"/>
      <c r="T19" s="162"/>
      <c r="U19" s="161"/>
      <c r="V19" s="89"/>
      <c r="W19" s="91"/>
      <c r="X19" s="89"/>
      <c r="Y19" s="162"/>
      <c r="Z19" s="160"/>
      <c r="AA19" s="91"/>
      <c r="AB19" s="89"/>
      <c r="AC19" s="162"/>
      <c r="AD19" s="161"/>
      <c r="AE19" s="89"/>
      <c r="AF19" s="91"/>
      <c r="AG19" s="89"/>
      <c r="AH19" s="162"/>
      <c r="AI19" s="160"/>
      <c r="AJ19" s="91"/>
      <c r="AK19" s="89"/>
      <c r="AL19" s="162"/>
      <c r="AM19" s="161"/>
      <c r="AN19" s="89"/>
      <c r="AO19" s="91"/>
      <c r="AP19" s="89"/>
      <c r="AQ19" s="162"/>
      <c r="AR19" s="160"/>
      <c r="AS19" s="91"/>
      <c r="AT19" s="89"/>
      <c r="AU19" s="162"/>
      <c r="AV19" s="161"/>
      <c r="AW19" s="89"/>
      <c r="AX19" s="91"/>
      <c r="AY19" s="89"/>
      <c r="AZ19" s="162"/>
      <c r="BA19" s="160"/>
      <c r="BB19" s="91"/>
      <c r="BC19" s="89"/>
      <c r="BD19" s="162"/>
      <c r="BE19" s="161"/>
      <c r="BF19" s="89"/>
      <c r="BG19" s="91"/>
      <c r="BH19" s="89"/>
      <c r="BI19" s="162"/>
      <c r="BJ19" s="160"/>
      <c r="BK19" s="91"/>
      <c r="BL19" s="89"/>
      <c r="BM19" s="162"/>
      <c r="BN19" s="161"/>
      <c r="BO19" s="89"/>
      <c r="BP19" s="91"/>
      <c r="BQ19" s="89"/>
      <c r="BR19" s="162"/>
      <c r="BS19" s="160"/>
      <c r="BT19" s="91"/>
      <c r="BU19" s="89"/>
      <c r="BV19" s="162"/>
      <c r="BW19" s="161"/>
      <c r="BX19" s="89"/>
      <c r="BY19" s="91"/>
      <c r="BZ19" s="89"/>
      <c r="CA19" s="162"/>
      <c r="CB19" s="160"/>
      <c r="CC19" s="91"/>
      <c r="CD19" s="89"/>
      <c r="CE19" s="162"/>
      <c r="CF19" s="161"/>
      <c r="CG19" s="89"/>
      <c r="CH19" s="91"/>
      <c r="CI19" s="89"/>
      <c r="CJ19" s="162"/>
      <c r="CK19" s="160"/>
      <c r="CL19" s="91"/>
      <c r="CM19" s="89"/>
      <c r="CN19" s="162"/>
      <c r="CO19" s="161"/>
      <c r="CP19" s="89"/>
      <c r="CQ19" s="91"/>
      <c r="CR19" s="89"/>
      <c r="CS19" s="162"/>
      <c r="CT19" s="160"/>
      <c r="CU19" s="91"/>
      <c r="CV19" s="89"/>
      <c r="CW19" s="162"/>
      <c r="CX19" s="161"/>
      <c r="CY19" s="89"/>
      <c r="CZ19" s="91"/>
      <c r="DA19" s="89"/>
      <c r="DB19" s="162"/>
      <c r="DC19" s="160"/>
      <c r="DD19" s="91"/>
      <c r="DE19" s="89"/>
      <c r="DF19" s="162"/>
      <c r="DG19" s="161"/>
      <c r="DH19" s="89"/>
      <c r="DI19" s="91"/>
      <c r="DJ19" s="89"/>
      <c r="DK19" s="89"/>
      <c r="DL19" s="89"/>
    </row>
    <row r="20">
      <c r="A20" s="157"/>
      <c r="B20" s="79"/>
      <c r="C20" s="80"/>
      <c r="D20" s="8" t="str">
        <f>DPA!D41</f>
        <v>-</v>
      </c>
      <c r="E20" s="8" t="str">
        <f>DPA!E41</f>
        <v>Alat Tulis Kantor
Spesifikasi : Box File Jumbo Bantex</v>
      </c>
      <c r="F20" s="154"/>
      <c r="G20" s="89">
        <f>DPA!P41</f>
        <v>5</v>
      </c>
      <c r="H20" s="158" t="str">
        <f>DPA!Q41</f>
        <v>Buah</v>
      </c>
      <c r="I20" s="89">
        <f>DPA!R41</f>
        <v>52000</v>
      </c>
      <c r="J20" s="156">
        <f>DPA!S41</f>
        <v>260000</v>
      </c>
      <c r="K20" s="159"/>
      <c r="L20" s="160"/>
      <c r="M20" s="159"/>
      <c r="N20" s="161"/>
      <c r="O20" s="89"/>
      <c r="P20" s="162"/>
      <c r="Q20" s="160"/>
      <c r="R20" s="91"/>
      <c r="S20" s="89"/>
      <c r="T20" s="162"/>
      <c r="U20" s="161"/>
      <c r="V20" s="89"/>
      <c r="W20" s="91"/>
      <c r="X20" s="89"/>
      <c r="Y20" s="162"/>
      <c r="Z20" s="160"/>
      <c r="AA20" s="91"/>
      <c r="AB20" s="89"/>
      <c r="AC20" s="162"/>
      <c r="AD20" s="161"/>
      <c r="AE20" s="89"/>
      <c r="AF20" s="91"/>
      <c r="AG20" s="89"/>
      <c r="AH20" s="162"/>
      <c r="AI20" s="160"/>
      <c r="AJ20" s="91"/>
      <c r="AK20" s="89"/>
      <c r="AL20" s="162"/>
      <c r="AM20" s="161"/>
      <c r="AN20" s="89"/>
      <c r="AO20" s="91"/>
      <c r="AP20" s="89"/>
      <c r="AQ20" s="162"/>
      <c r="AR20" s="160"/>
      <c r="AS20" s="91"/>
      <c r="AT20" s="89"/>
      <c r="AU20" s="162"/>
      <c r="AV20" s="161"/>
      <c r="AW20" s="89"/>
      <c r="AX20" s="91"/>
      <c r="AY20" s="89"/>
      <c r="AZ20" s="162"/>
      <c r="BA20" s="160"/>
      <c r="BB20" s="91"/>
      <c r="BC20" s="89"/>
      <c r="BD20" s="162"/>
      <c r="BE20" s="161"/>
      <c r="BF20" s="89"/>
      <c r="BG20" s="91"/>
      <c r="BH20" s="89"/>
      <c r="BI20" s="162"/>
      <c r="BJ20" s="160"/>
      <c r="BK20" s="91"/>
      <c r="BL20" s="89"/>
      <c r="BM20" s="162"/>
      <c r="BN20" s="161"/>
      <c r="BO20" s="89"/>
      <c r="BP20" s="91"/>
      <c r="BQ20" s="89"/>
      <c r="BR20" s="162"/>
      <c r="BS20" s="160"/>
      <c r="BT20" s="91"/>
      <c r="BU20" s="89"/>
      <c r="BV20" s="162"/>
      <c r="BW20" s="161"/>
      <c r="BX20" s="89"/>
      <c r="BY20" s="91"/>
      <c r="BZ20" s="89"/>
      <c r="CA20" s="162"/>
      <c r="CB20" s="160"/>
      <c r="CC20" s="91"/>
      <c r="CD20" s="89"/>
      <c r="CE20" s="162"/>
      <c r="CF20" s="161"/>
      <c r="CG20" s="89"/>
      <c r="CH20" s="91"/>
      <c r="CI20" s="89"/>
      <c r="CJ20" s="162"/>
      <c r="CK20" s="160"/>
      <c r="CL20" s="91"/>
      <c r="CM20" s="89"/>
      <c r="CN20" s="162"/>
      <c r="CO20" s="161"/>
      <c r="CP20" s="89"/>
      <c r="CQ20" s="91"/>
      <c r="CR20" s="89"/>
      <c r="CS20" s="162"/>
      <c r="CT20" s="160"/>
      <c r="CU20" s="91"/>
      <c r="CV20" s="89"/>
      <c r="CW20" s="162"/>
      <c r="CX20" s="161"/>
      <c r="CY20" s="89"/>
      <c r="CZ20" s="91"/>
      <c r="DA20" s="89"/>
      <c r="DB20" s="162"/>
      <c r="DC20" s="160"/>
      <c r="DD20" s="91"/>
      <c r="DE20" s="89"/>
      <c r="DF20" s="162"/>
      <c r="DG20" s="161"/>
      <c r="DH20" s="89"/>
      <c r="DI20" s="91"/>
      <c r="DJ20" s="89"/>
      <c r="DK20" s="89"/>
      <c r="DL20" s="89"/>
    </row>
    <row r="21" ht="15.75" customHeight="1">
      <c r="A21" s="81"/>
      <c r="B21" s="79"/>
      <c r="C21" s="80"/>
      <c r="D21" s="8"/>
      <c r="E21" s="8"/>
      <c r="F21" s="154"/>
      <c r="G21" s="81"/>
      <c r="H21" s="81"/>
      <c r="I21" s="89"/>
      <c r="J21" s="156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1"/>
      <c r="DL21" s="84"/>
    </row>
    <row r="22" ht="15.75" customHeight="1">
      <c r="A22" s="72"/>
      <c r="B22" s="153" t="str">
        <f>DPA!B43</f>
        <v>5.1.02.01.01.0025</v>
      </c>
      <c r="C22" s="80" t="str">
        <f>DPA!C43</f>
        <v>Belanja Alat/Bahan untuk Kegiatan Kantor- Kertas dan Cover</v>
      </c>
      <c r="D22" s="72"/>
      <c r="E22" s="72"/>
      <c r="F22" s="154"/>
      <c r="G22" s="81"/>
      <c r="H22" s="81"/>
      <c r="I22" s="89"/>
      <c r="J22" s="156">
        <f>DPA!S43</f>
        <v>441400</v>
      </c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9"/>
      <c r="DL22" s="84"/>
    </row>
    <row r="23" ht="15.75" customHeight="1">
      <c r="A23" s="72"/>
      <c r="B23" s="163"/>
      <c r="C23" s="7"/>
      <c r="D23" s="8" t="str">
        <f>DPA!D44</f>
        <v>-</v>
      </c>
      <c r="E23" s="8" t="str">
        <f>DPA!E44</f>
        <v>Kertas dan Cover
Spesifikasi : Kertas HVS A4 70 gr</v>
      </c>
      <c r="F23" s="9"/>
      <c r="G23" s="89">
        <f>DPA!P44</f>
        <v>2</v>
      </c>
      <c r="H23" s="158" t="str">
        <f>DPA!Q44</f>
        <v>Rim</v>
      </c>
      <c r="I23" s="89">
        <f>DPA!R44</f>
        <v>82400</v>
      </c>
      <c r="J23" s="156">
        <f>DPA!S44</f>
        <v>164800</v>
      </c>
      <c r="K23" s="84"/>
      <c r="L23" s="84"/>
      <c r="M23" s="84"/>
      <c r="N23" s="84"/>
      <c r="O23" s="89"/>
      <c r="P23" s="84"/>
      <c r="Q23" s="89"/>
      <c r="R23" s="91"/>
      <c r="S23" s="89"/>
      <c r="T23" s="162"/>
      <c r="U23" s="161"/>
      <c r="V23" s="89"/>
      <c r="W23" s="91"/>
      <c r="X23" s="89"/>
      <c r="Y23" s="84"/>
      <c r="Z23" s="84"/>
      <c r="AA23" s="91"/>
      <c r="AB23" s="89"/>
      <c r="AC23" s="162"/>
      <c r="AD23" s="161"/>
      <c r="AE23" s="89"/>
      <c r="AF23" s="91"/>
      <c r="AG23" s="89"/>
      <c r="AH23" s="84"/>
      <c r="AI23" s="84"/>
      <c r="AJ23" s="91"/>
      <c r="AK23" s="89"/>
      <c r="AL23" s="162"/>
      <c r="AM23" s="161"/>
      <c r="AN23" s="89"/>
      <c r="AO23" s="91"/>
      <c r="AP23" s="89"/>
      <c r="AQ23" s="84"/>
      <c r="AR23" s="84"/>
      <c r="AS23" s="91"/>
      <c r="AT23" s="89"/>
      <c r="AU23" s="162"/>
      <c r="AV23" s="161"/>
      <c r="AW23" s="89"/>
      <c r="AX23" s="91"/>
      <c r="AY23" s="89"/>
      <c r="AZ23" s="84"/>
      <c r="BA23" s="84"/>
      <c r="BB23" s="91"/>
      <c r="BC23" s="89"/>
      <c r="BD23" s="162"/>
      <c r="BE23" s="161"/>
      <c r="BF23" s="89"/>
      <c r="BG23" s="91"/>
      <c r="BH23" s="89"/>
      <c r="BI23" s="84"/>
      <c r="BJ23" s="84"/>
      <c r="BK23" s="91"/>
      <c r="BL23" s="89"/>
      <c r="BM23" s="162"/>
      <c r="BN23" s="161"/>
      <c r="BO23" s="89"/>
      <c r="BP23" s="91"/>
      <c r="BQ23" s="89"/>
      <c r="BR23" s="84"/>
      <c r="BS23" s="84"/>
      <c r="BT23" s="91"/>
      <c r="BU23" s="89"/>
      <c r="BV23" s="162"/>
      <c r="BW23" s="161"/>
      <c r="BX23" s="89"/>
      <c r="BY23" s="91"/>
      <c r="BZ23" s="89"/>
      <c r="CA23" s="84"/>
      <c r="CB23" s="84"/>
      <c r="CC23" s="91"/>
      <c r="CD23" s="89"/>
      <c r="CE23" s="162"/>
      <c r="CF23" s="161"/>
      <c r="CG23" s="89"/>
      <c r="CH23" s="91"/>
      <c r="CI23" s="89"/>
      <c r="CJ23" s="84"/>
      <c r="CK23" s="84"/>
      <c r="CL23" s="91"/>
      <c r="CM23" s="89"/>
      <c r="CN23" s="162"/>
      <c r="CO23" s="161"/>
      <c r="CP23" s="89"/>
      <c r="CQ23" s="91"/>
      <c r="CR23" s="89"/>
      <c r="CS23" s="84"/>
      <c r="CT23" s="84"/>
      <c r="CU23" s="91"/>
      <c r="CV23" s="89"/>
      <c r="CW23" s="162"/>
      <c r="CX23" s="161"/>
      <c r="CY23" s="89"/>
      <c r="CZ23" s="91"/>
      <c r="DA23" s="89"/>
      <c r="DB23" s="84"/>
      <c r="DC23" s="84"/>
      <c r="DD23" s="91"/>
      <c r="DE23" s="89"/>
      <c r="DF23" s="162"/>
      <c r="DG23" s="161"/>
      <c r="DH23" s="89"/>
      <c r="DI23" s="91"/>
      <c r="DJ23" s="89"/>
      <c r="DK23" s="89"/>
      <c r="DL23" s="89"/>
    </row>
    <row r="24" ht="15.75" customHeight="1">
      <c r="A24" s="72"/>
      <c r="B24" s="163"/>
      <c r="C24" s="7"/>
      <c r="D24" s="8" t="str">
        <f>DPA!D45</f>
        <v>-</v>
      </c>
      <c r="E24" s="8" t="str">
        <f>DPA!E45</f>
        <v>Kertas dan Cover
Spesifikasi : Kertas HVS F4 70 gr</v>
      </c>
      <c r="F24" s="9"/>
      <c r="G24" s="89">
        <f>DPA!P45</f>
        <v>3</v>
      </c>
      <c r="H24" s="158" t="str">
        <f>DPA!Q45</f>
        <v>Rim</v>
      </c>
      <c r="I24" s="89">
        <f>DPA!R45</f>
        <v>92200</v>
      </c>
      <c r="J24" s="156">
        <f>DPA!S45</f>
        <v>276600</v>
      </c>
      <c r="K24" s="84"/>
      <c r="L24" s="84"/>
      <c r="M24" s="84"/>
      <c r="N24" s="84"/>
      <c r="O24" s="89"/>
      <c r="P24" s="84"/>
      <c r="Q24" s="89"/>
      <c r="R24" s="91"/>
      <c r="S24" s="89"/>
      <c r="T24" s="162"/>
      <c r="U24" s="161"/>
      <c r="V24" s="89"/>
      <c r="W24" s="91"/>
      <c r="X24" s="89"/>
      <c r="Y24" s="84"/>
      <c r="Z24" s="84"/>
      <c r="AA24" s="91"/>
      <c r="AB24" s="89"/>
      <c r="AC24" s="162"/>
      <c r="AD24" s="161"/>
      <c r="AE24" s="89"/>
      <c r="AF24" s="91"/>
      <c r="AG24" s="89"/>
      <c r="AH24" s="84"/>
      <c r="AI24" s="84"/>
      <c r="AJ24" s="91"/>
      <c r="AK24" s="89"/>
      <c r="AL24" s="162"/>
      <c r="AM24" s="161"/>
      <c r="AN24" s="89"/>
      <c r="AO24" s="91"/>
      <c r="AP24" s="89"/>
      <c r="AQ24" s="84"/>
      <c r="AR24" s="84"/>
      <c r="AS24" s="91"/>
      <c r="AT24" s="89"/>
      <c r="AU24" s="162"/>
      <c r="AV24" s="161"/>
      <c r="AW24" s="89"/>
      <c r="AX24" s="91"/>
      <c r="AY24" s="89"/>
      <c r="AZ24" s="84"/>
      <c r="BA24" s="84"/>
      <c r="BB24" s="91"/>
      <c r="BC24" s="89"/>
      <c r="BD24" s="162"/>
      <c r="BE24" s="161"/>
      <c r="BF24" s="89"/>
      <c r="BG24" s="91"/>
      <c r="BH24" s="89"/>
      <c r="BI24" s="84"/>
      <c r="BJ24" s="84"/>
      <c r="BK24" s="91"/>
      <c r="BL24" s="89"/>
      <c r="BM24" s="162"/>
      <c r="BN24" s="161"/>
      <c r="BO24" s="89"/>
      <c r="BP24" s="91"/>
      <c r="BQ24" s="89"/>
      <c r="BR24" s="84"/>
      <c r="BS24" s="84"/>
      <c r="BT24" s="91"/>
      <c r="BU24" s="89"/>
      <c r="BV24" s="162"/>
      <c r="BW24" s="161"/>
      <c r="BX24" s="89"/>
      <c r="BY24" s="91"/>
      <c r="BZ24" s="89"/>
      <c r="CA24" s="84"/>
      <c r="CB24" s="84"/>
      <c r="CC24" s="91"/>
      <c r="CD24" s="89"/>
      <c r="CE24" s="162"/>
      <c r="CF24" s="161"/>
      <c r="CG24" s="89"/>
      <c r="CH24" s="91"/>
      <c r="CI24" s="89"/>
      <c r="CJ24" s="84"/>
      <c r="CK24" s="84"/>
      <c r="CL24" s="91"/>
      <c r="CM24" s="89"/>
      <c r="CN24" s="162"/>
      <c r="CO24" s="161"/>
      <c r="CP24" s="89"/>
      <c r="CQ24" s="91"/>
      <c r="CR24" s="89"/>
      <c r="CS24" s="84"/>
      <c r="CT24" s="84"/>
      <c r="CU24" s="91"/>
      <c r="CV24" s="89"/>
      <c r="CW24" s="162"/>
      <c r="CX24" s="161"/>
      <c r="CY24" s="89"/>
      <c r="CZ24" s="91"/>
      <c r="DA24" s="89"/>
      <c r="DB24" s="84"/>
      <c r="DC24" s="84"/>
      <c r="DD24" s="91"/>
      <c r="DE24" s="89"/>
      <c r="DF24" s="162"/>
      <c r="DG24" s="161"/>
      <c r="DH24" s="89"/>
      <c r="DI24" s="91"/>
      <c r="DJ24" s="89"/>
      <c r="DK24" s="89"/>
      <c r="DL24" s="89"/>
    </row>
    <row r="25" ht="15.75" customHeight="1">
      <c r="A25" s="72"/>
      <c r="B25" s="163"/>
      <c r="C25" s="7"/>
      <c r="D25" s="8"/>
      <c r="E25" s="8"/>
      <c r="F25" s="9"/>
      <c r="G25" s="81"/>
      <c r="H25" s="81"/>
      <c r="I25" s="89"/>
      <c r="J25" s="156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72"/>
      <c r="DL25" s="84"/>
    </row>
    <row r="26" ht="15.75" customHeight="1">
      <c r="A26" s="72"/>
      <c r="B26" s="153" t="str">
        <f>DPA!B47</f>
        <v>5.1.02.01.01.0026</v>
      </c>
      <c r="C26" s="80" t="str">
        <f>DPA!C47</f>
        <v>Belanja Alat/Bahan untuk Kegiatan Kantor- Bahan Cetak</v>
      </c>
      <c r="D26" s="8"/>
      <c r="E26" s="8"/>
      <c r="F26" s="9"/>
      <c r="G26" s="81"/>
      <c r="H26" s="81"/>
      <c r="I26" s="89"/>
      <c r="J26" s="156">
        <f>DPA!S47</f>
        <v>544000</v>
      </c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72"/>
      <c r="DL26" s="84"/>
    </row>
    <row r="27" ht="15.75" customHeight="1">
      <c r="A27" s="72"/>
      <c r="B27" s="163"/>
      <c r="C27" s="7"/>
      <c r="D27" s="8" t="str">
        <f>DPA!D48</f>
        <v>-</v>
      </c>
      <c r="E27" s="8" t="str">
        <f>DPA!E48</f>
        <v>Foto Copy
Spesifikasi : Foto copy Hitam Putih-HVS
A4/F4</v>
      </c>
      <c r="F27" s="9"/>
      <c r="G27" s="89">
        <f>DPA!P48</f>
        <v>1360</v>
      </c>
      <c r="H27" s="158" t="str">
        <f>DPA!Q48</f>
        <v>Lembar</v>
      </c>
      <c r="I27" s="89">
        <f>DPA!R48</f>
        <v>400</v>
      </c>
      <c r="J27" s="156">
        <f>DPA!S48</f>
        <v>544000</v>
      </c>
      <c r="K27" s="84"/>
      <c r="L27" s="84"/>
      <c r="M27" s="84"/>
      <c r="N27" s="84"/>
      <c r="O27" s="89"/>
      <c r="P27" s="84"/>
      <c r="Q27" s="89"/>
      <c r="R27" s="91"/>
      <c r="S27" s="89"/>
      <c r="T27" s="162"/>
      <c r="U27" s="161"/>
      <c r="V27" s="89"/>
      <c r="W27" s="91"/>
      <c r="X27" s="89"/>
      <c r="Y27" s="84"/>
      <c r="Z27" s="89"/>
      <c r="AA27" s="91"/>
      <c r="AB27" s="89"/>
      <c r="AC27" s="162"/>
      <c r="AD27" s="161"/>
      <c r="AE27" s="89"/>
      <c r="AF27" s="91"/>
      <c r="AG27" s="89"/>
      <c r="AH27" s="84"/>
      <c r="AI27" s="89"/>
      <c r="AJ27" s="91"/>
      <c r="AK27" s="89"/>
      <c r="AL27" s="162"/>
      <c r="AM27" s="161"/>
      <c r="AN27" s="89"/>
      <c r="AO27" s="91"/>
      <c r="AP27" s="89"/>
      <c r="AQ27" s="84"/>
      <c r="AR27" s="89"/>
      <c r="AS27" s="91"/>
      <c r="AT27" s="89"/>
      <c r="AU27" s="162"/>
      <c r="AV27" s="161"/>
      <c r="AW27" s="89"/>
      <c r="AX27" s="91"/>
      <c r="AY27" s="89"/>
      <c r="AZ27" s="84"/>
      <c r="BA27" s="89"/>
      <c r="BB27" s="91"/>
      <c r="BC27" s="89"/>
      <c r="BD27" s="162"/>
      <c r="BE27" s="161"/>
      <c r="BF27" s="89"/>
      <c r="BG27" s="91"/>
      <c r="BH27" s="89"/>
      <c r="BI27" s="84"/>
      <c r="BJ27" s="89"/>
      <c r="BK27" s="91"/>
      <c r="BL27" s="89"/>
      <c r="BM27" s="162"/>
      <c r="BN27" s="161"/>
      <c r="BO27" s="89"/>
      <c r="BP27" s="91"/>
      <c r="BQ27" s="89"/>
      <c r="BR27" s="84"/>
      <c r="BS27" s="89"/>
      <c r="BT27" s="91"/>
      <c r="BU27" s="89"/>
      <c r="BV27" s="162"/>
      <c r="BW27" s="161"/>
      <c r="BX27" s="89"/>
      <c r="BY27" s="91"/>
      <c r="BZ27" s="89"/>
      <c r="CA27" s="84"/>
      <c r="CB27" s="89"/>
      <c r="CC27" s="91"/>
      <c r="CD27" s="89"/>
      <c r="CE27" s="162"/>
      <c r="CF27" s="161"/>
      <c r="CG27" s="89"/>
      <c r="CH27" s="91"/>
      <c r="CI27" s="89"/>
      <c r="CJ27" s="84"/>
      <c r="CK27" s="89"/>
      <c r="CL27" s="91"/>
      <c r="CM27" s="89"/>
      <c r="CN27" s="162"/>
      <c r="CO27" s="161"/>
      <c r="CP27" s="89"/>
      <c r="CQ27" s="91"/>
      <c r="CR27" s="89"/>
      <c r="CS27" s="84"/>
      <c r="CT27" s="89"/>
      <c r="CU27" s="91"/>
      <c r="CV27" s="89"/>
      <c r="CW27" s="162"/>
      <c r="CX27" s="161"/>
      <c r="CY27" s="89"/>
      <c r="CZ27" s="91"/>
      <c r="DA27" s="89"/>
      <c r="DB27" s="84"/>
      <c r="DC27" s="89"/>
      <c r="DD27" s="91"/>
      <c r="DE27" s="89"/>
      <c r="DF27" s="162"/>
      <c r="DG27" s="161"/>
      <c r="DH27" s="89"/>
      <c r="DI27" s="91"/>
      <c r="DJ27" s="89"/>
      <c r="DK27" s="89"/>
      <c r="DL27" s="89"/>
    </row>
    <row r="28" ht="15.75" customHeight="1">
      <c r="A28" s="72"/>
      <c r="B28" s="163"/>
      <c r="C28" s="7"/>
      <c r="D28" s="8"/>
      <c r="E28" s="8"/>
      <c r="F28" s="9"/>
      <c r="G28" s="81"/>
      <c r="H28" s="81"/>
      <c r="I28" s="89"/>
      <c r="J28" s="156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72"/>
      <c r="DL28" s="84"/>
    </row>
    <row r="29" ht="15.75" customHeight="1">
      <c r="A29" s="72"/>
      <c r="B29" s="153" t="str">
        <f>DPA!B50</f>
        <v>5.1.02.01.01.0027</v>
      </c>
      <c r="C29" s="80" t="str">
        <f>DPA!C50</f>
        <v>Belanja Alat/Bahan untuk Kegiatan Kantor-Benda Pos</v>
      </c>
      <c r="D29" s="8"/>
      <c r="E29" s="8"/>
      <c r="F29" s="9"/>
      <c r="G29" s="81"/>
      <c r="H29" s="81"/>
      <c r="I29" s="89"/>
      <c r="J29" s="156">
        <f>DPA!S50</f>
        <v>150000</v>
      </c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72"/>
      <c r="DL29" s="84"/>
    </row>
    <row r="30" ht="15.75" customHeight="1">
      <c r="A30" s="72"/>
      <c r="B30" s="163"/>
      <c r="C30" s="7"/>
      <c r="D30" s="8" t="str">
        <f>DPA!D51</f>
        <v>-</v>
      </c>
      <c r="E30" s="8" t="str">
        <f>DPA!E51</f>
        <v>Materai
Spesifikasi: Materai 10.000</v>
      </c>
      <c r="F30" s="9"/>
      <c r="G30" s="89">
        <f>DPA!P51</f>
        <v>15</v>
      </c>
      <c r="H30" s="158" t="str">
        <f>DPA!Q51</f>
        <v>Lembar</v>
      </c>
      <c r="I30" s="89">
        <f>DPA!R51</f>
        <v>10000</v>
      </c>
      <c r="J30" s="156">
        <f>DPA!S51</f>
        <v>150000</v>
      </c>
      <c r="K30" s="84"/>
      <c r="L30" s="84"/>
      <c r="M30" s="84"/>
      <c r="N30" s="84"/>
      <c r="O30" s="89"/>
      <c r="P30" s="84"/>
      <c r="Q30" s="89"/>
      <c r="R30" s="91"/>
      <c r="S30" s="89"/>
      <c r="T30" s="162"/>
      <c r="U30" s="161"/>
      <c r="V30" s="89"/>
      <c r="W30" s="91"/>
      <c r="X30" s="89"/>
      <c r="Y30" s="84"/>
      <c r="Z30" s="89"/>
      <c r="AA30" s="91"/>
      <c r="AB30" s="89"/>
      <c r="AC30" s="162"/>
      <c r="AD30" s="161"/>
      <c r="AE30" s="89"/>
      <c r="AF30" s="91"/>
      <c r="AG30" s="89"/>
      <c r="AH30" s="84"/>
      <c r="AI30" s="89"/>
      <c r="AJ30" s="91"/>
      <c r="AK30" s="89"/>
      <c r="AL30" s="162"/>
      <c r="AM30" s="161"/>
      <c r="AN30" s="89"/>
      <c r="AO30" s="91"/>
      <c r="AP30" s="89"/>
      <c r="AQ30" s="84"/>
      <c r="AR30" s="89"/>
      <c r="AS30" s="91"/>
      <c r="AT30" s="89"/>
      <c r="AU30" s="162"/>
      <c r="AV30" s="161"/>
      <c r="AW30" s="89"/>
      <c r="AX30" s="91"/>
      <c r="AY30" s="89"/>
      <c r="AZ30" s="84"/>
      <c r="BA30" s="89"/>
      <c r="BB30" s="91"/>
      <c r="BC30" s="89"/>
      <c r="BD30" s="162"/>
      <c r="BE30" s="161"/>
      <c r="BF30" s="89"/>
      <c r="BG30" s="91"/>
      <c r="BH30" s="89"/>
      <c r="BI30" s="84"/>
      <c r="BJ30" s="89"/>
      <c r="BK30" s="91"/>
      <c r="BL30" s="89"/>
      <c r="BM30" s="162"/>
      <c r="BN30" s="161"/>
      <c r="BO30" s="89"/>
      <c r="BP30" s="91"/>
      <c r="BQ30" s="89"/>
      <c r="BR30" s="84"/>
      <c r="BS30" s="89"/>
      <c r="BT30" s="91"/>
      <c r="BU30" s="89"/>
      <c r="BV30" s="162"/>
      <c r="BW30" s="161"/>
      <c r="BX30" s="89"/>
      <c r="BY30" s="91"/>
      <c r="BZ30" s="89"/>
      <c r="CA30" s="84"/>
      <c r="CB30" s="89"/>
      <c r="CC30" s="91"/>
      <c r="CD30" s="89"/>
      <c r="CE30" s="162"/>
      <c r="CF30" s="161"/>
      <c r="CG30" s="89"/>
      <c r="CH30" s="91"/>
      <c r="CI30" s="89"/>
      <c r="CJ30" s="84"/>
      <c r="CK30" s="89"/>
      <c r="CL30" s="91"/>
      <c r="CM30" s="89"/>
      <c r="CN30" s="162"/>
      <c r="CO30" s="161"/>
      <c r="CP30" s="89"/>
      <c r="CQ30" s="91"/>
      <c r="CR30" s="89"/>
      <c r="CS30" s="84"/>
      <c r="CT30" s="89"/>
      <c r="CU30" s="91"/>
      <c r="CV30" s="89"/>
      <c r="CW30" s="162"/>
      <c r="CX30" s="161"/>
      <c r="CY30" s="89"/>
      <c r="CZ30" s="91"/>
      <c r="DA30" s="89"/>
      <c r="DB30" s="84"/>
      <c r="DC30" s="89"/>
      <c r="DD30" s="91"/>
      <c r="DE30" s="89"/>
      <c r="DF30" s="162"/>
      <c r="DG30" s="161"/>
      <c r="DH30" s="89"/>
      <c r="DI30" s="91"/>
      <c r="DJ30" s="89"/>
      <c r="DK30" s="89"/>
      <c r="DL30" s="89"/>
    </row>
    <row r="31" ht="15.75" customHeight="1">
      <c r="A31" s="72"/>
      <c r="B31" s="163"/>
      <c r="C31" s="7"/>
      <c r="D31" s="8"/>
      <c r="E31" s="8"/>
      <c r="F31" s="9"/>
      <c r="G31" s="81"/>
      <c r="H31" s="81"/>
      <c r="I31" s="89"/>
      <c r="J31" s="156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72"/>
      <c r="DL31" s="84"/>
    </row>
    <row r="32" ht="15.75" customHeight="1">
      <c r="A32" s="72"/>
      <c r="B32" s="153" t="str">
        <f>DPA!B53</f>
        <v>5.1.02.04</v>
      </c>
      <c r="C32" s="164" t="str">
        <f>DPA!C53</f>
        <v>Belanja Perjalanan Dinas</v>
      </c>
      <c r="D32" s="72"/>
      <c r="E32" s="72"/>
      <c r="F32" s="154"/>
      <c r="G32" s="81"/>
      <c r="H32" s="81"/>
      <c r="I32" s="84"/>
      <c r="J32" s="155">
        <f>DPA!S53</f>
        <v>31208000</v>
      </c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72"/>
      <c r="DL32" s="84"/>
    </row>
    <row r="33" ht="15.75" customHeight="1">
      <c r="A33" s="72"/>
      <c r="B33" s="153" t="str">
        <f>DPA!B54</f>
        <v>5.1.02.04.01</v>
      </c>
      <c r="C33" s="164" t="str">
        <f>DPA!C54</f>
        <v>Belanja Perjalanan Dinas Dalam Negeri</v>
      </c>
      <c r="D33" s="72"/>
      <c r="E33" s="72"/>
      <c r="F33" s="154"/>
      <c r="G33" s="81"/>
      <c r="H33" s="81"/>
      <c r="I33" s="84"/>
      <c r="J33" s="155">
        <f>DPA!S54</f>
        <v>31208000</v>
      </c>
      <c r="K33" s="84"/>
      <c r="L33" s="84"/>
      <c r="M33" s="84"/>
      <c r="N33" s="84"/>
      <c r="O33" s="89"/>
      <c r="P33" s="84"/>
      <c r="Q33" s="89"/>
      <c r="R33" s="91"/>
      <c r="S33" s="89"/>
      <c r="T33" s="162"/>
      <c r="U33" s="161"/>
      <c r="V33" s="89"/>
      <c r="W33" s="91"/>
      <c r="X33" s="89"/>
      <c r="Y33" s="84"/>
      <c r="Z33" s="89"/>
      <c r="AA33" s="91"/>
      <c r="AB33" s="89"/>
      <c r="AC33" s="162"/>
      <c r="AD33" s="161"/>
      <c r="AE33" s="89"/>
      <c r="AF33" s="91"/>
      <c r="AG33" s="89"/>
      <c r="AH33" s="84"/>
      <c r="AI33" s="89"/>
      <c r="AJ33" s="91"/>
      <c r="AK33" s="89"/>
      <c r="AL33" s="162"/>
      <c r="AM33" s="161"/>
      <c r="AN33" s="89"/>
      <c r="AO33" s="91"/>
      <c r="AP33" s="89"/>
      <c r="AQ33" s="84"/>
      <c r="AR33" s="89"/>
      <c r="AS33" s="91"/>
      <c r="AT33" s="89"/>
      <c r="AU33" s="162"/>
      <c r="AV33" s="161"/>
      <c r="AW33" s="89"/>
      <c r="AX33" s="91"/>
      <c r="AY33" s="89"/>
      <c r="AZ33" s="84"/>
      <c r="BA33" s="89"/>
      <c r="BB33" s="91"/>
      <c r="BC33" s="89"/>
      <c r="BD33" s="162"/>
      <c r="BE33" s="161"/>
      <c r="BF33" s="89"/>
      <c r="BG33" s="91"/>
      <c r="BH33" s="89"/>
      <c r="BI33" s="84"/>
      <c r="BJ33" s="89"/>
      <c r="BK33" s="91"/>
      <c r="BL33" s="89"/>
      <c r="BM33" s="162"/>
      <c r="BN33" s="161"/>
      <c r="BO33" s="89"/>
      <c r="BP33" s="91"/>
      <c r="BQ33" s="89"/>
      <c r="BR33" s="84"/>
      <c r="BS33" s="89"/>
      <c r="BT33" s="91"/>
      <c r="BU33" s="89"/>
      <c r="BV33" s="162"/>
      <c r="BW33" s="161"/>
      <c r="BX33" s="89"/>
      <c r="BY33" s="91"/>
      <c r="BZ33" s="89"/>
      <c r="CA33" s="84"/>
      <c r="CB33" s="89"/>
      <c r="CC33" s="91"/>
      <c r="CD33" s="89"/>
      <c r="CE33" s="162"/>
      <c r="CF33" s="161"/>
      <c r="CG33" s="89"/>
      <c r="CH33" s="91"/>
      <c r="CI33" s="89"/>
      <c r="CJ33" s="84"/>
      <c r="CK33" s="89"/>
      <c r="CL33" s="91"/>
      <c r="CM33" s="89"/>
      <c r="CN33" s="162"/>
      <c r="CO33" s="161"/>
      <c r="CP33" s="89"/>
      <c r="CQ33" s="91"/>
      <c r="CR33" s="89"/>
      <c r="CS33" s="84"/>
      <c r="CT33" s="89"/>
      <c r="CU33" s="91"/>
      <c r="CV33" s="89"/>
      <c r="CW33" s="162"/>
      <c r="CX33" s="161"/>
      <c r="CY33" s="89"/>
      <c r="CZ33" s="91"/>
      <c r="DA33" s="89"/>
      <c r="DB33" s="84"/>
      <c r="DC33" s="89"/>
      <c r="DD33" s="91"/>
      <c r="DE33" s="89"/>
      <c r="DF33" s="162"/>
      <c r="DG33" s="161"/>
      <c r="DH33" s="89"/>
      <c r="DI33" s="91"/>
      <c r="DJ33" s="89"/>
      <c r="DK33" s="89"/>
      <c r="DL33" s="89"/>
    </row>
    <row r="34" ht="15.75" customHeight="1">
      <c r="A34" s="72"/>
      <c r="B34" s="153" t="str">
        <f>DPA!B55</f>
        <v>5.1.02.04.01.0001</v>
      </c>
      <c r="C34" s="164" t="str">
        <f>DPA!C55</f>
        <v>Belanja Perjalanan Dinas Biasa</v>
      </c>
      <c r="D34" s="72"/>
      <c r="E34" s="72"/>
      <c r="F34" s="154"/>
      <c r="G34" s="81"/>
      <c r="H34" s="81"/>
      <c r="I34" s="84"/>
      <c r="J34" s="155">
        <f>DPA!S55</f>
        <v>31208000</v>
      </c>
      <c r="K34" s="84"/>
      <c r="L34" s="84"/>
      <c r="M34" s="84"/>
      <c r="N34" s="84"/>
      <c r="O34" s="89"/>
      <c r="P34" s="84"/>
      <c r="Q34" s="89"/>
      <c r="R34" s="91"/>
      <c r="S34" s="89"/>
      <c r="T34" s="162"/>
      <c r="U34" s="161"/>
      <c r="V34" s="89"/>
      <c r="W34" s="91"/>
      <c r="X34" s="89"/>
      <c r="Y34" s="84"/>
      <c r="Z34" s="89"/>
      <c r="AA34" s="91"/>
      <c r="AB34" s="89"/>
      <c r="AC34" s="162"/>
      <c r="AD34" s="161"/>
      <c r="AE34" s="89"/>
      <c r="AF34" s="91"/>
      <c r="AG34" s="89"/>
      <c r="AH34" s="84"/>
      <c r="AI34" s="89"/>
      <c r="AJ34" s="91"/>
      <c r="AK34" s="89"/>
      <c r="AL34" s="162"/>
      <c r="AM34" s="161"/>
      <c r="AN34" s="89"/>
      <c r="AO34" s="91"/>
      <c r="AP34" s="89"/>
      <c r="AQ34" s="84"/>
      <c r="AR34" s="89"/>
      <c r="AS34" s="91"/>
      <c r="AT34" s="89"/>
      <c r="AU34" s="162"/>
      <c r="AV34" s="161"/>
      <c r="AW34" s="89"/>
      <c r="AX34" s="91"/>
      <c r="AY34" s="89"/>
      <c r="AZ34" s="84"/>
      <c r="BA34" s="89"/>
      <c r="BB34" s="91"/>
      <c r="BC34" s="89"/>
      <c r="BD34" s="162"/>
      <c r="BE34" s="161"/>
      <c r="BF34" s="89"/>
      <c r="BG34" s="91"/>
      <c r="BH34" s="89"/>
      <c r="BI34" s="84"/>
      <c r="BJ34" s="89"/>
      <c r="BK34" s="91"/>
      <c r="BL34" s="89"/>
      <c r="BM34" s="162"/>
      <c r="BN34" s="161"/>
      <c r="BO34" s="89"/>
      <c r="BP34" s="91"/>
      <c r="BQ34" s="89"/>
      <c r="BR34" s="84"/>
      <c r="BS34" s="89"/>
      <c r="BT34" s="91"/>
      <c r="BU34" s="89"/>
      <c r="BV34" s="162"/>
      <c r="BW34" s="161"/>
      <c r="BX34" s="89"/>
      <c r="BY34" s="91"/>
      <c r="BZ34" s="89"/>
      <c r="CA34" s="84"/>
      <c r="CB34" s="89"/>
      <c r="CC34" s="91"/>
      <c r="CD34" s="89"/>
      <c r="CE34" s="162"/>
      <c r="CF34" s="161"/>
      <c r="CG34" s="89"/>
      <c r="CH34" s="91"/>
      <c r="CI34" s="89"/>
      <c r="CJ34" s="84"/>
      <c r="CK34" s="89"/>
      <c r="CL34" s="91"/>
      <c r="CM34" s="89"/>
      <c r="CN34" s="162"/>
      <c r="CO34" s="161"/>
      <c r="CP34" s="89"/>
      <c r="CQ34" s="91"/>
      <c r="CR34" s="89"/>
      <c r="CS34" s="84"/>
      <c r="CT34" s="89"/>
      <c r="CU34" s="91"/>
      <c r="CV34" s="89"/>
      <c r="CW34" s="162"/>
      <c r="CX34" s="161"/>
      <c r="CY34" s="89"/>
      <c r="CZ34" s="91"/>
      <c r="DA34" s="89"/>
      <c r="DB34" s="84"/>
      <c r="DC34" s="89"/>
      <c r="DD34" s="91"/>
      <c r="DE34" s="89"/>
      <c r="DF34" s="162"/>
      <c r="DG34" s="161"/>
      <c r="DH34" s="89"/>
      <c r="DI34" s="91"/>
      <c r="DJ34" s="89"/>
      <c r="DK34" s="89"/>
      <c r="DL34" s="89"/>
    </row>
    <row r="35" ht="15.75" customHeight="1">
      <c r="A35" s="72"/>
      <c r="B35" s="163"/>
      <c r="C35" s="165"/>
      <c r="D35" s="8" t="s">
        <v>64</v>
      </c>
      <c r="E35" s="8" t="str">
        <f>DPA!E56</f>
        <v>Penginapan Dalam Negeri di- D.K.I. JAKARTA
Spesifikasi: PEJABAT ESELON III / GOLONGAN IV</v>
      </c>
      <c r="F35" s="9"/>
      <c r="G35" s="89">
        <f>DPA!P56</f>
        <v>8</v>
      </c>
      <c r="H35" s="158" t="str">
        <f>DPA!Q56</f>
        <v>Orang / Hari</v>
      </c>
      <c r="I35" s="89">
        <f>DPA!R56</f>
        <v>992000</v>
      </c>
      <c r="J35" s="156">
        <f>DPA!S56</f>
        <v>7936000</v>
      </c>
      <c r="K35" s="84"/>
      <c r="L35" s="84"/>
      <c r="M35" s="84"/>
      <c r="N35" s="84"/>
      <c r="O35" s="89"/>
      <c r="P35" s="84"/>
      <c r="Q35" s="89"/>
      <c r="R35" s="91"/>
      <c r="S35" s="89"/>
      <c r="T35" s="162"/>
      <c r="U35" s="161"/>
      <c r="V35" s="89"/>
      <c r="W35" s="91"/>
      <c r="X35" s="89"/>
      <c r="Y35" s="84"/>
      <c r="Z35" s="89"/>
      <c r="AA35" s="91"/>
      <c r="AB35" s="89"/>
      <c r="AC35" s="162"/>
      <c r="AD35" s="161"/>
      <c r="AE35" s="89"/>
      <c r="AF35" s="91"/>
      <c r="AG35" s="89"/>
      <c r="AH35" s="84"/>
      <c r="AI35" s="89"/>
      <c r="AJ35" s="91"/>
      <c r="AK35" s="89"/>
      <c r="AL35" s="162"/>
      <c r="AM35" s="161"/>
      <c r="AN35" s="89"/>
      <c r="AO35" s="91"/>
      <c r="AP35" s="89"/>
      <c r="AQ35" s="84"/>
      <c r="AR35" s="89"/>
      <c r="AS35" s="91"/>
      <c r="AT35" s="89"/>
      <c r="AU35" s="162"/>
      <c r="AV35" s="161"/>
      <c r="AW35" s="89"/>
      <c r="AX35" s="91"/>
      <c r="AY35" s="89"/>
      <c r="AZ35" s="84"/>
      <c r="BA35" s="89"/>
      <c r="BB35" s="91"/>
      <c r="BC35" s="89"/>
      <c r="BD35" s="162"/>
      <c r="BE35" s="161"/>
      <c r="BF35" s="89"/>
      <c r="BG35" s="91"/>
      <c r="BH35" s="89"/>
      <c r="BI35" s="84"/>
      <c r="BJ35" s="89"/>
      <c r="BK35" s="91"/>
      <c r="BL35" s="89"/>
      <c r="BM35" s="162"/>
      <c r="BN35" s="161"/>
      <c r="BO35" s="89"/>
      <c r="BP35" s="91"/>
      <c r="BQ35" s="89"/>
      <c r="BR35" s="84"/>
      <c r="BS35" s="89"/>
      <c r="BT35" s="91"/>
      <c r="BU35" s="89"/>
      <c r="BV35" s="162"/>
      <c r="BW35" s="161"/>
      <c r="BX35" s="89"/>
      <c r="BY35" s="91"/>
      <c r="BZ35" s="89"/>
      <c r="CA35" s="84"/>
      <c r="CB35" s="89"/>
      <c r="CC35" s="91"/>
      <c r="CD35" s="89"/>
      <c r="CE35" s="162"/>
      <c r="CF35" s="161"/>
      <c r="CG35" s="89"/>
      <c r="CH35" s="91"/>
      <c r="CI35" s="89"/>
      <c r="CJ35" s="84"/>
      <c r="CK35" s="89"/>
      <c r="CL35" s="91"/>
      <c r="CM35" s="89"/>
      <c r="CN35" s="162"/>
      <c r="CO35" s="161"/>
      <c r="CP35" s="89"/>
      <c r="CQ35" s="91"/>
      <c r="CR35" s="89"/>
      <c r="CS35" s="84"/>
      <c r="CT35" s="89"/>
      <c r="CU35" s="91"/>
      <c r="CV35" s="89"/>
      <c r="CW35" s="162"/>
      <c r="CX35" s="161"/>
      <c r="CY35" s="89"/>
      <c r="CZ35" s="91"/>
      <c r="DA35" s="89"/>
      <c r="DB35" s="84"/>
      <c r="DC35" s="89"/>
      <c r="DD35" s="91"/>
      <c r="DE35" s="89"/>
      <c r="DF35" s="162"/>
      <c r="DG35" s="161"/>
      <c r="DH35" s="89"/>
      <c r="DI35" s="91"/>
      <c r="DJ35" s="89"/>
      <c r="DK35" s="89"/>
      <c r="DL35" s="89"/>
    </row>
    <row r="36" ht="15.75" customHeight="1">
      <c r="A36" s="72"/>
      <c r="B36" s="163"/>
      <c r="C36" s="165"/>
      <c r="D36" s="8" t="s">
        <v>64</v>
      </c>
      <c r="E36" s="8" t="str">
        <f>DPA!E57</f>
        <v>Taxi dari/ke Bandara - Perjalanan Dinas Dalam Negeri
Spesifikasi: BALI</v>
      </c>
      <c r="F36" s="9"/>
      <c r="G36" s="89">
        <f>DPA!P57</f>
        <v>8</v>
      </c>
      <c r="H36" s="158" t="str">
        <f>DPA!Q57</f>
        <v>Orang / Kali</v>
      </c>
      <c r="I36" s="89">
        <f>DPA!R57</f>
        <v>227000</v>
      </c>
      <c r="J36" s="156">
        <f>DPA!S57</f>
        <v>1816000</v>
      </c>
      <c r="K36" s="84"/>
      <c r="L36" s="84"/>
      <c r="M36" s="84"/>
      <c r="N36" s="84"/>
      <c r="O36" s="89"/>
      <c r="P36" s="84"/>
      <c r="Q36" s="89"/>
      <c r="R36" s="91"/>
      <c r="S36" s="89"/>
      <c r="T36" s="162"/>
      <c r="U36" s="161"/>
      <c r="V36" s="89"/>
      <c r="W36" s="91"/>
      <c r="X36" s="89"/>
      <c r="Y36" s="84"/>
      <c r="Z36" s="89"/>
      <c r="AA36" s="91"/>
      <c r="AB36" s="89"/>
      <c r="AC36" s="162"/>
      <c r="AD36" s="161"/>
      <c r="AE36" s="89"/>
      <c r="AF36" s="91"/>
      <c r="AG36" s="89"/>
      <c r="AH36" s="84"/>
      <c r="AI36" s="89"/>
      <c r="AJ36" s="91"/>
      <c r="AK36" s="89"/>
      <c r="AL36" s="162"/>
      <c r="AM36" s="161"/>
      <c r="AN36" s="89"/>
      <c r="AO36" s="91"/>
      <c r="AP36" s="89"/>
      <c r="AQ36" s="84"/>
      <c r="AR36" s="89"/>
      <c r="AS36" s="91"/>
      <c r="AT36" s="89"/>
      <c r="AU36" s="162"/>
      <c r="AV36" s="161"/>
      <c r="AW36" s="89"/>
      <c r="AX36" s="91"/>
      <c r="AY36" s="89"/>
      <c r="AZ36" s="84"/>
      <c r="BA36" s="89"/>
      <c r="BB36" s="91"/>
      <c r="BC36" s="89"/>
      <c r="BD36" s="162"/>
      <c r="BE36" s="161"/>
      <c r="BF36" s="89"/>
      <c r="BG36" s="91"/>
      <c r="BH36" s="89"/>
      <c r="BI36" s="84"/>
      <c r="BJ36" s="89"/>
      <c r="BK36" s="91"/>
      <c r="BL36" s="89"/>
      <c r="BM36" s="162"/>
      <c r="BN36" s="161"/>
      <c r="BO36" s="89"/>
      <c r="BP36" s="91"/>
      <c r="BQ36" s="89"/>
      <c r="BR36" s="84"/>
      <c r="BS36" s="89"/>
      <c r="BT36" s="91"/>
      <c r="BU36" s="89"/>
      <c r="BV36" s="162"/>
      <c r="BW36" s="161"/>
      <c r="BX36" s="89"/>
      <c r="BY36" s="91"/>
      <c r="BZ36" s="89"/>
      <c r="CA36" s="84"/>
      <c r="CB36" s="89"/>
      <c r="CC36" s="91"/>
      <c r="CD36" s="89"/>
      <c r="CE36" s="162"/>
      <c r="CF36" s="161"/>
      <c r="CG36" s="89"/>
      <c r="CH36" s="91"/>
      <c r="CI36" s="89"/>
      <c r="CJ36" s="84"/>
      <c r="CK36" s="89"/>
      <c r="CL36" s="91"/>
      <c r="CM36" s="89"/>
      <c r="CN36" s="162"/>
      <c r="CO36" s="161"/>
      <c r="CP36" s="89"/>
      <c r="CQ36" s="91"/>
      <c r="CR36" s="89"/>
      <c r="CS36" s="84"/>
      <c r="CT36" s="89"/>
      <c r="CU36" s="91"/>
      <c r="CV36" s="89"/>
      <c r="CW36" s="162"/>
      <c r="CX36" s="161"/>
      <c r="CY36" s="89"/>
      <c r="CZ36" s="91"/>
      <c r="DA36" s="89"/>
      <c r="DB36" s="84"/>
      <c r="DC36" s="89"/>
      <c r="DD36" s="91"/>
      <c r="DE36" s="89"/>
      <c r="DF36" s="162"/>
      <c r="DG36" s="161"/>
      <c r="DH36" s="89"/>
      <c r="DI36" s="91"/>
      <c r="DJ36" s="89"/>
      <c r="DK36" s="89"/>
      <c r="DL36" s="89"/>
    </row>
    <row r="37" ht="15.75" customHeight="1">
      <c r="A37" s="72"/>
      <c r="B37" s="163"/>
      <c r="C37" s="165"/>
      <c r="D37" s="8" t="s">
        <v>64</v>
      </c>
      <c r="E37" s="8" t="str">
        <f>DPA!E58</f>
        <v>Taxi dari/ke Bandara - Perjalanan Dinas Dalam Negeri
Spesifikasi: D.K.I. JAKARTA</v>
      </c>
      <c r="F37" s="9"/>
      <c r="G37" s="89">
        <f>DPA!P58</f>
        <v>8</v>
      </c>
      <c r="H37" s="158" t="str">
        <f>DPA!Q58</f>
        <v>Orang / Kali</v>
      </c>
      <c r="I37" s="89">
        <f>DPA!R58</f>
        <v>256000</v>
      </c>
      <c r="J37" s="156">
        <f>DPA!S58</f>
        <v>2048000</v>
      </c>
      <c r="K37" s="84"/>
      <c r="L37" s="84"/>
      <c r="M37" s="84"/>
      <c r="N37" s="84"/>
      <c r="O37" s="89"/>
      <c r="P37" s="84"/>
      <c r="Q37" s="89"/>
      <c r="R37" s="91"/>
      <c r="S37" s="89"/>
      <c r="T37" s="162"/>
      <c r="U37" s="161"/>
      <c r="V37" s="89"/>
      <c r="W37" s="91"/>
      <c r="X37" s="89"/>
      <c r="Y37" s="84"/>
      <c r="Z37" s="89"/>
      <c r="AA37" s="91"/>
      <c r="AB37" s="89"/>
      <c r="AC37" s="162"/>
      <c r="AD37" s="161"/>
      <c r="AE37" s="89"/>
      <c r="AF37" s="91"/>
      <c r="AG37" s="89"/>
      <c r="AH37" s="84"/>
      <c r="AI37" s="89"/>
      <c r="AJ37" s="91"/>
      <c r="AK37" s="89"/>
      <c r="AL37" s="162"/>
      <c r="AM37" s="161"/>
      <c r="AN37" s="89"/>
      <c r="AO37" s="91"/>
      <c r="AP37" s="89"/>
      <c r="AQ37" s="84"/>
      <c r="AR37" s="89"/>
      <c r="AS37" s="91"/>
      <c r="AT37" s="89"/>
      <c r="AU37" s="162"/>
      <c r="AV37" s="161"/>
      <c r="AW37" s="89"/>
      <c r="AX37" s="91"/>
      <c r="AY37" s="89"/>
      <c r="AZ37" s="84"/>
      <c r="BA37" s="89"/>
      <c r="BB37" s="91"/>
      <c r="BC37" s="89"/>
      <c r="BD37" s="162"/>
      <c r="BE37" s="161"/>
      <c r="BF37" s="89"/>
      <c r="BG37" s="91"/>
      <c r="BH37" s="89"/>
      <c r="BI37" s="84"/>
      <c r="BJ37" s="89"/>
      <c r="BK37" s="91"/>
      <c r="BL37" s="89"/>
      <c r="BM37" s="162"/>
      <c r="BN37" s="161"/>
      <c r="BO37" s="89"/>
      <c r="BP37" s="91"/>
      <c r="BQ37" s="89"/>
      <c r="BR37" s="84"/>
      <c r="BS37" s="89"/>
      <c r="BT37" s="91"/>
      <c r="BU37" s="89"/>
      <c r="BV37" s="162"/>
      <c r="BW37" s="161"/>
      <c r="BX37" s="89"/>
      <c r="BY37" s="91"/>
      <c r="BZ37" s="89"/>
      <c r="CA37" s="84"/>
      <c r="CB37" s="89"/>
      <c r="CC37" s="91"/>
      <c r="CD37" s="89"/>
      <c r="CE37" s="162"/>
      <c r="CF37" s="161"/>
      <c r="CG37" s="89"/>
      <c r="CH37" s="91"/>
      <c r="CI37" s="89"/>
      <c r="CJ37" s="84"/>
      <c r="CK37" s="89"/>
      <c r="CL37" s="91"/>
      <c r="CM37" s="89"/>
      <c r="CN37" s="162"/>
      <c r="CO37" s="161"/>
      <c r="CP37" s="89"/>
      <c r="CQ37" s="91"/>
      <c r="CR37" s="89"/>
      <c r="CS37" s="84"/>
      <c r="CT37" s="89"/>
      <c r="CU37" s="91"/>
      <c r="CV37" s="89"/>
      <c r="CW37" s="162"/>
      <c r="CX37" s="161"/>
      <c r="CY37" s="89"/>
      <c r="CZ37" s="91"/>
      <c r="DA37" s="89"/>
      <c r="DB37" s="84"/>
      <c r="DC37" s="89"/>
      <c r="DD37" s="91"/>
      <c r="DE37" s="89"/>
      <c r="DF37" s="162"/>
      <c r="DG37" s="161"/>
      <c r="DH37" s="89"/>
      <c r="DI37" s="91"/>
      <c r="DJ37" s="89"/>
      <c r="DK37" s="89"/>
      <c r="DL37" s="89"/>
    </row>
    <row r="38" ht="15.75" customHeight="1">
      <c r="A38" s="72"/>
      <c r="B38" s="163"/>
      <c r="C38" s="165"/>
      <c r="D38" s="8" t="s">
        <v>64</v>
      </c>
      <c r="E38" s="8" t="str">
        <f>DPA!E59</f>
        <v>Satuan Biaya Tiket Dalam Negeri
Spesifikasi : Denpasar - Jakarta</v>
      </c>
      <c r="F38" s="9"/>
      <c r="G38" s="89">
        <f>DPA!P59</f>
        <v>4</v>
      </c>
      <c r="H38" s="158" t="str">
        <f>DPA!Q59</f>
        <v>Orang /PP</v>
      </c>
      <c r="I38" s="89">
        <f>DPA!R59</f>
        <v>3262000</v>
      </c>
      <c r="J38" s="156">
        <f>DPA!S59</f>
        <v>13048000</v>
      </c>
      <c r="K38" s="84"/>
      <c r="L38" s="84"/>
      <c r="M38" s="84"/>
      <c r="N38" s="84"/>
      <c r="O38" s="89"/>
      <c r="P38" s="84"/>
      <c r="Q38" s="89"/>
      <c r="R38" s="91"/>
      <c r="S38" s="89"/>
      <c r="T38" s="162"/>
      <c r="U38" s="161"/>
      <c r="V38" s="89"/>
      <c r="W38" s="91"/>
      <c r="X38" s="89"/>
      <c r="Y38" s="84"/>
      <c r="Z38" s="89"/>
      <c r="AA38" s="91"/>
      <c r="AB38" s="89"/>
      <c r="AC38" s="162"/>
      <c r="AD38" s="161"/>
      <c r="AE38" s="89"/>
      <c r="AF38" s="91"/>
      <c r="AG38" s="89"/>
      <c r="AH38" s="84"/>
      <c r="AI38" s="89"/>
      <c r="AJ38" s="91"/>
      <c r="AK38" s="89"/>
      <c r="AL38" s="162"/>
      <c r="AM38" s="161"/>
      <c r="AN38" s="89"/>
      <c r="AO38" s="91"/>
      <c r="AP38" s="89"/>
      <c r="AQ38" s="84"/>
      <c r="AR38" s="89"/>
      <c r="AS38" s="91"/>
      <c r="AT38" s="89"/>
      <c r="AU38" s="162"/>
      <c r="AV38" s="161"/>
      <c r="AW38" s="89"/>
      <c r="AX38" s="91"/>
      <c r="AY38" s="89"/>
      <c r="AZ38" s="84"/>
      <c r="BA38" s="89"/>
      <c r="BB38" s="91"/>
      <c r="BC38" s="89"/>
      <c r="BD38" s="162"/>
      <c r="BE38" s="161"/>
      <c r="BF38" s="89"/>
      <c r="BG38" s="91"/>
      <c r="BH38" s="89"/>
      <c r="BI38" s="84"/>
      <c r="BJ38" s="89"/>
      <c r="BK38" s="91"/>
      <c r="BL38" s="89"/>
      <c r="BM38" s="162"/>
      <c r="BN38" s="161"/>
      <c r="BO38" s="89"/>
      <c r="BP38" s="91"/>
      <c r="BQ38" s="89"/>
      <c r="BR38" s="84"/>
      <c r="BS38" s="89"/>
      <c r="BT38" s="91"/>
      <c r="BU38" s="89"/>
      <c r="BV38" s="162"/>
      <c r="BW38" s="161"/>
      <c r="BX38" s="89"/>
      <c r="BY38" s="91"/>
      <c r="BZ38" s="89"/>
      <c r="CA38" s="84"/>
      <c r="CB38" s="89"/>
      <c r="CC38" s="91"/>
      <c r="CD38" s="89"/>
      <c r="CE38" s="162"/>
      <c r="CF38" s="161"/>
      <c r="CG38" s="89"/>
      <c r="CH38" s="91"/>
      <c r="CI38" s="89"/>
      <c r="CJ38" s="84"/>
      <c r="CK38" s="89"/>
      <c r="CL38" s="91"/>
      <c r="CM38" s="89"/>
      <c r="CN38" s="162"/>
      <c r="CO38" s="161"/>
      <c r="CP38" s="89"/>
      <c r="CQ38" s="91"/>
      <c r="CR38" s="89"/>
      <c r="CS38" s="84"/>
      <c r="CT38" s="89"/>
      <c r="CU38" s="91"/>
      <c r="CV38" s="89"/>
      <c r="CW38" s="162"/>
      <c r="CX38" s="161"/>
      <c r="CY38" s="89"/>
      <c r="CZ38" s="91"/>
      <c r="DA38" s="89"/>
      <c r="DB38" s="84"/>
      <c r="DC38" s="89"/>
      <c r="DD38" s="91"/>
      <c r="DE38" s="89"/>
      <c r="DF38" s="162"/>
      <c r="DG38" s="161"/>
      <c r="DH38" s="89"/>
      <c r="DI38" s="91"/>
      <c r="DJ38" s="89"/>
      <c r="DK38" s="89"/>
      <c r="DL38" s="89"/>
    </row>
    <row r="39" ht="15.75" customHeight="1">
      <c r="A39" s="72"/>
      <c r="B39" s="163"/>
      <c r="C39" s="165"/>
      <c r="D39" s="8" t="s">
        <v>64</v>
      </c>
      <c r="E39" s="8" t="str">
        <f>DPA!E60</f>
        <v>Uang Harian Perjalanan Dinas Luar Kota/Luar Daerah
Spesifikasi: D.K.I. JAKARTA</v>
      </c>
      <c r="F39" s="9"/>
      <c r="G39" s="89">
        <f>DPA!P60</f>
        <v>12</v>
      </c>
      <c r="H39" s="158" t="str">
        <f>DPA!Q60</f>
        <v>Orang / Hari</v>
      </c>
      <c r="I39" s="89">
        <f>DPA!R60</f>
        <v>530000</v>
      </c>
      <c r="J39" s="156">
        <f>DPA!S60</f>
        <v>6360000</v>
      </c>
      <c r="K39" s="84"/>
      <c r="L39" s="84"/>
      <c r="M39" s="84"/>
      <c r="N39" s="84"/>
      <c r="O39" s="89"/>
      <c r="P39" s="84"/>
      <c r="Q39" s="89"/>
      <c r="R39" s="91"/>
      <c r="S39" s="89"/>
      <c r="T39" s="162"/>
      <c r="U39" s="161"/>
      <c r="V39" s="89"/>
      <c r="W39" s="91"/>
      <c r="X39" s="89"/>
      <c r="Y39" s="84"/>
      <c r="Z39" s="89"/>
      <c r="AA39" s="91"/>
      <c r="AB39" s="89"/>
      <c r="AC39" s="162"/>
      <c r="AD39" s="161"/>
      <c r="AE39" s="89"/>
      <c r="AF39" s="91"/>
      <c r="AG39" s="89"/>
      <c r="AH39" s="84"/>
      <c r="AI39" s="89"/>
      <c r="AJ39" s="91"/>
      <c r="AK39" s="89"/>
      <c r="AL39" s="162"/>
      <c r="AM39" s="161"/>
      <c r="AN39" s="89"/>
      <c r="AO39" s="91"/>
      <c r="AP39" s="89"/>
      <c r="AQ39" s="84"/>
      <c r="AR39" s="89"/>
      <c r="AS39" s="91"/>
      <c r="AT39" s="89"/>
      <c r="AU39" s="162"/>
      <c r="AV39" s="161"/>
      <c r="AW39" s="89"/>
      <c r="AX39" s="91"/>
      <c r="AY39" s="89"/>
      <c r="AZ39" s="84"/>
      <c r="BA39" s="89"/>
      <c r="BB39" s="91"/>
      <c r="BC39" s="89"/>
      <c r="BD39" s="162"/>
      <c r="BE39" s="161"/>
      <c r="BF39" s="89"/>
      <c r="BG39" s="91"/>
      <c r="BH39" s="89"/>
      <c r="BI39" s="84"/>
      <c r="BJ39" s="89"/>
      <c r="BK39" s="91"/>
      <c r="BL39" s="89"/>
      <c r="BM39" s="162"/>
      <c r="BN39" s="161"/>
      <c r="BO39" s="89"/>
      <c r="BP39" s="91"/>
      <c r="BQ39" s="89"/>
      <c r="BR39" s="84"/>
      <c r="BS39" s="89"/>
      <c r="BT39" s="91"/>
      <c r="BU39" s="89"/>
      <c r="BV39" s="162"/>
      <c r="BW39" s="161"/>
      <c r="BX39" s="89"/>
      <c r="BY39" s="91"/>
      <c r="BZ39" s="89"/>
      <c r="CA39" s="84"/>
      <c r="CB39" s="89"/>
      <c r="CC39" s="91"/>
      <c r="CD39" s="89"/>
      <c r="CE39" s="162"/>
      <c r="CF39" s="161"/>
      <c r="CG39" s="89"/>
      <c r="CH39" s="91"/>
      <c r="CI39" s="89"/>
      <c r="CJ39" s="84"/>
      <c r="CK39" s="89"/>
      <c r="CL39" s="91"/>
      <c r="CM39" s="89"/>
      <c r="CN39" s="162"/>
      <c r="CO39" s="161"/>
      <c r="CP39" s="89"/>
      <c r="CQ39" s="91"/>
      <c r="CR39" s="89"/>
      <c r="CS39" s="84"/>
      <c r="CT39" s="89"/>
      <c r="CU39" s="91"/>
      <c r="CV39" s="89"/>
      <c r="CW39" s="162"/>
      <c r="CX39" s="161"/>
      <c r="CY39" s="89"/>
      <c r="CZ39" s="91"/>
      <c r="DA39" s="89"/>
      <c r="DB39" s="84"/>
      <c r="DC39" s="89"/>
      <c r="DD39" s="91"/>
      <c r="DE39" s="89"/>
      <c r="DF39" s="162"/>
      <c r="DG39" s="161"/>
      <c r="DH39" s="89"/>
      <c r="DI39" s="91"/>
      <c r="DJ39" s="89"/>
      <c r="DK39" s="89"/>
      <c r="DL39" s="89"/>
    </row>
    <row r="40" ht="15.75" customHeight="1">
      <c r="A40" s="72"/>
      <c r="B40" s="163"/>
      <c r="C40" s="165"/>
      <c r="D40" s="8"/>
      <c r="E40" s="8"/>
      <c r="F40" s="9"/>
      <c r="G40" s="158"/>
      <c r="H40" s="158"/>
      <c r="I40" s="89"/>
      <c r="J40" s="156"/>
      <c r="K40" s="84"/>
      <c r="L40" s="84"/>
      <c r="M40" s="84"/>
      <c r="N40" s="84"/>
      <c r="O40" s="89"/>
      <c r="P40" s="84"/>
      <c r="Q40" s="89"/>
      <c r="R40" s="91"/>
      <c r="S40" s="89"/>
      <c r="T40" s="162"/>
      <c r="U40" s="161"/>
      <c r="V40" s="89"/>
      <c r="W40" s="91"/>
      <c r="X40" s="89"/>
      <c r="Y40" s="84"/>
      <c r="Z40" s="89"/>
      <c r="AA40" s="91"/>
      <c r="AB40" s="89"/>
      <c r="AC40" s="162"/>
      <c r="AD40" s="161"/>
      <c r="AE40" s="89"/>
      <c r="AF40" s="91"/>
      <c r="AG40" s="89"/>
      <c r="AH40" s="84"/>
      <c r="AI40" s="89"/>
      <c r="AJ40" s="91"/>
      <c r="AK40" s="89"/>
      <c r="AL40" s="162"/>
      <c r="AM40" s="161"/>
      <c r="AN40" s="89"/>
      <c r="AO40" s="91"/>
      <c r="AP40" s="89"/>
      <c r="AQ40" s="84"/>
      <c r="AR40" s="89"/>
      <c r="AS40" s="91"/>
      <c r="AT40" s="89"/>
      <c r="AU40" s="162"/>
      <c r="AV40" s="161"/>
      <c r="AW40" s="89"/>
      <c r="AX40" s="91"/>
      <c r="AY40" s="89"/>
      <c r="AZ40" s="84"/>
      <c r="BA40" s="89"/>
      <c r="BB40" s="91"/>
      <c r="BC40" s="89"/>
      <c r="BD40" s="162"/>
      <c r="BE40" s="161"/>
      <c r="BF40" s="89"/>
      <c r="BG40" s="91"/>
      <c r="BH40" s="89"/>
      <c r="BI40" s="84"/>
      <c r="BJ40" s="89"/>
      <c r="BK40" s="91"/>
      <c r="BL40" s="89"/>
      <c r="BM40" s="162"/>
      <c r="BN40" s="161"/>
      <c r="BO40" s="89"/>
      <c r="BP40" s="91"/>
      <c r="BQ40" s="89"/>
      <c r="BR40" s="84"/>
      <c r="BS40" s="89"/>
      <c r="BT40" s="91"/>
      <c r="BU40" s="89"/>
      <c r="BV40" s="162"/>
      <c r="BW40" s="161"/>
      <c r="BX40" s="89"/>
      <c r="BY40" s="91"/>
      <c r="BZ40" s="89"/>
      <c r="CA40" s="84"/>
      <c r="CB40" s="89"/>
      <c r="CC40" s="91"/>
      <c r="CD40" s="89"/>
      <c r="CE40" s="162"/>
      <c r="CF40" s="161"/>
      <c r="CG40" s="89"/>
      <c r="CH40" s="91"/>
      <c r="CI40" s="89"/>
      <c r="CJ40" s="84"/>
      <c r="CK40" s="89"/>
      <c r="CL40" s="91"/>
      <c r="CM40" s="89"/>
      <c r="CN40" s="162"/>
      <c r="CO40" s="161"/>
      <c r="CP40" s="89"/>
      <c r="CQ40" s="91"/>
      <c r="CR40" s="89"/>
      <c r="CS40" s="84"/>
      <c r="CT40" s="89"/>
      <c r="CU40" s="91"/>
      <c r="CV40" s="89"/>
      <c r="CW40" s="162"/>
      <c r="CX40" s="161"/>
      <c r="CY40" s="89"/>
      <c r="CZ40" s="91"/>
      <c r="DA40" s="89"/>
      <c r="DB40" s="84"/>
      <c r="DC40" s="89"/>
      <c r="DD40" s="91"/>
      <c r="DE40" s="89"/>
      <c r="DF40" s="162"/>
      <c r="DG40" s="161"/>
      <c r="DH40" s="89"/>
      <c r="DI40" s="91"/>
      <c r="DJ40" s="89"/>
      <c r="DK40" s="89"/>
      <c r="DL40" s="89"/>
    </row>
    <row r="41" ht="15.75" customHeight="1">
      <c r="A41" s="72"/>
      <c r="B41" s="153" t="str">
        <f>DPA!B62</f>
        <v>5.2 </v>
      </c>
      <c r="C41" s="164" t="str">
        <f>DPA!C62</f>
        <v>Belanja Modal</v>
      </c>
      <c r="D41" s="72"/>
      <c r="E41" s="72"/>
      <c r="F41" s="154"/>
      <c r="G41" s="81"/>
      <c r="H41" s="81"/>
      <c r="I41" s="84"/>
      <c r="J41" s="155">
        <f>DPA!S62</f>
        <v>61372400</v>
      </c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72"/>
      <c r="DL41" s="84"/>
    </row>
    <row r="42" ht="15.75" customHeight="1">
      <c r="A42" s="72"/>
      <c r="B42" s="153" t="str">
        <f>DPA!B63</f>
        <v>5.2.02</v>
      </c>
      <c r="C42" s="164" t="str">
        <f>DPA!C63</f>
        <v>Belanja Modal Perapatan dan Mesin</v>
      </c>
      <c r="D42" s="72"/>
      <c r="E42" s="72"/>
      <c r="F42" s="154"/>
      <c r="G42" s="81"/>
      <c r="H42" s="81"/>
      <c r="I42" s="84"/>
      <c r="J42" s="155">
        <f>DPA!S63</f>
        <v>61372400</v>
      </c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72"/>
      <c r="DL42" s="84"/>
    </row>
    <row r="43" ht="15.75" customHeight="1">
      <c r="A43" s="72"/>
      <c r="B43" s="153" t="str">
        <f>DPA!B64</f>
        <v>5.2.02.05</v>
      </c>
      <c r="C43" s="164" t="str">
        <f>DPA!C64</f>
        <v>Belanja Modal Alat Kantor dan Rumah Tangga</v>
      </c>
      <c r="D43" s="72"/>
      <c r="E43" s="72"/>
      <c r="F43" s="154"/>
      <c r="G43" s="81"/>
      <c r="H43" s="81"/>
      <c r="I43" s="84"/>
      <c r="J43" s="155">
        <f>DPA!S64</f>
        <v>61372400</v>
      </c>
      <c r="K43" s="84"/>
      <c r="L43" s="84"/>
      <c r="M43" s="84"/>
      <c r="N43" s="84"/>
      <c r="O43" s="89"/>
      <c r="P43" s="166"/>
      <c r="Q43" s="89"/>
      <c r="R43" s="89"/>
      <c r="S43" s="89"/>
      <c r="T43" s="160"/>
      <c r="U43" s="161"/>
      <c r="V43" s="89"/>
      <c r="W43" s="89"/>
      <c r="X43" s="89"/>
      <c r="Y43" s="84"/>
      <c r="Z43" s="89"/>
      <c r="AA43" s="89"/>
      <c r="AB43" s="89"/>
      <c r="AC43" s="162"/>
      <c r="AD43" s="161"/>
      <c r="AE43" s="89"/>
      <c r="AF43" s="91"/>
      <c r="AG43" s="89"/>
      <c r="AH43" s="166"/>
      <c r="AI43" s="89"/>
      <c r="AJ43" s="89"/>
      <c r="AK43" s="89"/>
      <c r="AL43" s="162"/>
      <c r="AM43" s="161"/>
      <c r="AN43" s="89"/>
      <c r="AO43" s="91"/>
      <c r="AP43" s="89"/>
      <c r="AQ43" s="84"/>
      <c r="AR43" s="89"/>
      <c r="AS43" s="89"/>
      <c r="AT43" s="89"/>
      <c r="AU43" s="162"/>
      <c r="AV43" s="161"/>
      <c r="AW43" s="89"/>
      <c r="AX43" s="91"/>
      <c r="AY43" s="89"/>
      <c r="AZ43" s="166"/>
      <c r="BA43" s="89"/>
      <c r="BB43" s="89"/>
      <c r="BC43" s="89"/>
      <c r="BD43" s="162"/>
      <c r="BE43" s="161"/>
      <c r="BF43" s="89"/>
      <c r="BG43" s="91"/>
      <c r="BH43" s="89"/>
      <c r="BI43" s="84"/>
      <c r="BJ43" s="89"/>
      <c r="BK43" s="89"/>
      <c r="BL43" s="89"/>
      <c r="BM43" s="162"/>
      <c r="BN43" s="161"/>
      <c r="BO43" s="89"/>
      <c r="BP43" s="91"/>
      <c r="BQ43" s="89"/>
      <c r="BR43" s="166"/>
      <c r="BS43" s="89"/>
      <c r="BT43" s="89"/>
      <c r="BU43" s="89"/>
      <c r="BV43" s="162"/>
      <c r="BW43" s="161"/>
      <c r="BX43" s="89"/>
      <c r="BY43" s="91"/>
      <c r="BZ43" s="89"/>
      <c r="CA43" s="166"/>
      <c r="CB43" s="89"/>
      <c r="CC43" s="89"/>
      <c r="CD43" s="89"/>
      <c r="CE43" s="162"/>
      <c r="CF43" s="161"/>
      <c r="CG43" s="89"/>
      <c r="CH43" s="91"/>
      <c r="CI43" s="89"/>
      <c r="CJ43" s="84"/>
      <c r="CK43" s="89"/>
      <c r="CL43" s="89"/>
      <c r="CM43" s="89"/>
      <c r="CN43" s="162"/>
      <c r="CO43" s="161"/>
      <c r="CP43" s="89"/>
      <c r="CQ43" s="91"/>
      <c r="CR43" s="89"/>
      <c r="CS43" s="84"/>
      <c r="CT43" s="89"/>
      <c r="CU43" s="89"/>
      <c r="CV43" s="89"/>
      <c r="CW43" s="162"/>
      <c r="CX43" s="161"/>
      <c r="CY43" s="89"/>
      <c r="CZ43" s="91"/>
      <c r="DA43" s="89"/>
      <c r="DB43" s="84"/>
      <c r="DC43" s="89"/>
      <c r="DD43" s="89"/>
      <c r="DE43" s="89"/>
      <c r="DF43" s="162"/>
      <c r="DG43" s="161"/>
      <c r="DH43" s="89"/>
      <c r="DI43" s="91"/>
      <c r="DJ43" s="89"/>
      <c r="DK43" s="89"/>
      <c r="DL43" s="89"/>
    </row>
    <row r="44" ht="15.75" customHeight="1">
      <c r="A44" s="72"/>
      <c r="B44" s="153" t="str">
        <f>DPA!B65</f>
        <v>5.2.02.05.001</v>
      </c>
      <c r="C44" s="164" t="str">
        <f>DPA!C65</f>
        <v>Belanja Modal Alat Kantor</v>
      </c>
      <c r="D44" s="72"/>
      <c r="E44" s="72"/>
      <c r="F44" s="154"/>
      <c r="G44" s="81"/>
      <c r="H44" s="81"/>
      <c r="I44" s="84"/>
      <c r="J44" s="155">
        <f>DPA!S65</f>
        <v>34347600</v>
      </c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72"/>
      <c r="DL44" s="84"/>
    </row>
    <row r="45" ht="15.75" customHeight="1">
      <c r="A45" s="72"/>
      <c r="B45" s="153" t="str">
        <f>DPA!B66</f>
        <v>5.2.02.05.001.00005</v>
      </c>
      <c r="C45" s="164" t="str">
        <f>DPA!C66</f>
        <v>Belanja Modal Alat Kantor Lainnya</v>
      </c>
      <c r="D45" s="72"/>
      <c r="E45" s="72"/>
      <c r="F45" s="154"/>
      <c r="G45" s="81"/>
      <c r="H45" s="81"/>
      <c r="I45" s="84"/>
      <c r="J45" s="155">
        <f>DPA!S66</f>
        <v>34347600</v>
      </c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72"/>
      <c r="DL45" s="84"/>
    </row>
    <row r="46" ht="15.75" customHeight="1">
      <c r="A46" s="72"/>
      <c r="B46" s="163"/>
      <c r="C46" s="165"/>
      <c r="D46" s="8" t="str">
        <f>DPA!D67</f>
        <v>-</v>
      </c>
      <c r="E46" s="8" t="str">
        <f>DPA!E67</f>
        <v>Peralatan Studio Video dan Film
Spesifikasi : Kamera Foto (SONY A7 IV
BODY + LENSA ZOOM 28-70MM)</v>
      </c>
      <c r="F46" s="9"/>
      <c r="G46" s="81"/>
      <c r="H46" s="81"/>
      <c r="I46" s="89">
        <f>DPA!R67</f>
        <v>34347600</v>
      </c>
      <c r="J46" s="156">
        <f>DPA!S67</f>
        <v>34347600</v>
      </c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72"/>
      <c r="DL46" s="84"/>
    </row>
    <row r="47" ht="15.75" customHeight="1">
      <c r="A47" s="72"/>
      <c r="B47" s="163"/>
      <c r="C47" s="165"/>
      <c r="D47" s="8"/>
      <c r="E47" s="8"/>
      <c r="F47" s="9"/>
      <c r="G47" s="158"/>
      <c r="H47" s="158"/>
      <c r="I47" s="89"/>
      <c r="J47" s="156"/>
      <c r="K47" s="84"/>
      <c r="L47" s="84"/>
      <c r="M47" s="84"/>
      <c r="N47" s="84"/>
      <c r="O47" s="89"/>
      <c r="P47" s="84"/>
      <c r="Q47" s="89"/>
      <c r="R47" s="89"/>
      <c r="S47" s="89"/>
      <c r="T47" s="162"/>
      <c r="U47" s="161"/>
      <c r="V47" s="89"/>
      <c r="W47" s="91"/>
      <c r="X47" s="89"/>
      <c r="Y47" s="84"/>
      <c r="Z47" s="89"/>
      <c r="AA47" s="89"/>
      <c r="AB47" s="89"/>
      <c r="AC47" s="162"/>
      <c r="AD47" s="161"/>
      <c r="AE47" s="89"/>
      <c r="AF47" s="91"/>
      <c r="AG47" s="89"/>
      <c r="AH47" s="84"/>
      <c r="AI47" s="89"/>
      <c r="AJ47" s="89"/>
      <c r="AK47" s="89"/>
      <c r="AL47" s="162"/>
      <c r="AM47" s="161"/>
      <c r="AN47" s="89"/>
      <c r="AO47" s="91"/>
      <c r="AP47" s="89"/>
      <c r="AQ47" s="84"/>
      <c r="AR47" s="89"/>
      <c r="AS47" s="89"/>
      <c r="AT47" s="89"/>
      <c r="AU47" s="162"/>
      <c r="AV47" s="161"/>
      <c r="AW47" s="89"/>
      <c r="AX47" s="91"/>
      <c r="AY47" s="89"/>
      <c r="AZ47" s="84"/>
      <c r="BA47" s="89"/>
      <c r="BB47" s="89"/>
      <c r="BC47" s="89"/>
      <c r="BD47" s="162"/>
      <c r="BE47" s="161"/>
      <c r="BF47" s="89"/>
      <c r="BG47" s="91"/>
      <c r="BH47" s="89"/>
      <c r="BI47" s="84"/>
      <c r="BJ47" s="89"/>
      <c r="BK47" s="89"/>
      <c r="BL47" s="89"/>
      <c r="BM47" s="162"/>
      <c r="BN47" s="161"/>
      <c r="BO47" s="89"/>
      <c r="BP47" s="91"/>
      <c r="BQ47" s="89"/>
      <c r="BR47" s="84"/>
      <c r="BS47" s="89"/>
      <c r="BT47" s="89"/>
      <c r="BU47" s="89"/>
      <c r="BV47" s="162"/>
      <c r="BW47" s="161"/>
      <c r="BX47" s="89"/>
      <c r="BY47" s="91"/>
      <c r="BZ47" s="89"/>
      <c r="CA47" s="84"/>
      <c r="CB47" s="89"/>
      <c r="CC47" s="89"/>
      <c r="CD47" s="89"/>
      <c r="CE47" s="162"/>
      <c r="CF47" s="161"/>
      <c r="CG47" s="89"/>
      <c r="CH47" s="91"/>
      <c r="CI47" s="89"/>
      <c r="CJ47" s="84"/>
      <c r="CK47" s="89"/>
      <c r="CL47" s="89"/>
      <c r="CM47" s="89"/>
      <c r="CN47" s="162"/>
      <c r="CO47" s="161"/>
      <c r="CP47" s="89"/>
      <c r="CQ47" s="91"/>
      <c r="CR47" s="89"/>
      <c r="CS47" s="84"/>
      <c r="CT47" s="89"/>
      <c r="CU47" s="89"/>
      <c r="CV47" s="89"/>
      <c r="CW47" s="162"/>
      <c r="CX47" s="161"/>
      <c r="CY47" s="89"/>
      <c r="CZ47" s="91"/>
      <c r="DA47" s="89"/>
      <c r="DB47" s="84"/>
      <c r="DC47" s="89"/>
      <c r="DD47" s="89"/>
      <c r="DE47" s="89"/>
      <c r="DF47" s="162"/>
      <c r="DG47" s="161"/>
      <c r="DH47" s="89"/>
      <c r="DI47" s="91"/>
      <c r="DJ47" s="89"/>
      <c r="DK47" s="89"/>
      <c r="DL47" s="89"/>
    </row>
    <row r="48" ht="15.75" customHeight="1">
      <c r="A48" s="72"/>
      <c r="B48" s="153" t="str">
        <f>DPA!B69</f>
        <v>5.2.02.05.002</v>
      </c>
      <c r="C48" s="164" t="str">
        <f>DPA!C69</f>
        <v>Belanja Modal Alat Rumah Tangga</v>
      </c>
      <c r="D48" s="72"/>
      <c r="E48" s="72"/>
      <c r="F48" s="154"/>
      <c r="G48" s="81"/>
      <c r="H48" s="81"/>
      <c r="I48" s="84"/>
      <c r="J48" s="155">
        <f>DPA!S69</f>
        <v>27024800</v>
      </c>
      <c r="K48" s="84"/>
      <c r="L48" s="84"/>
      <c r="M48" s="84"/>
      <c r="N48" s="84"/>
      <c r="O48" s="89"/>
      <c r="P48" s="84"/>
      <c r="Q48" s="89"/>
      <c r="R48" s="89"/>
      <c r="S48" s="89"/>
      <c r="T48" s="162"/>
      <c r="U48" s="161"/>
      <c r="V48" s="89"/>
      <c r="W48" s="91"/>
      <c r="X48" s="89"/>
      <c r="Y48" s="84"/>
      <c r="Z48" s="89"/>
      <c r="AA48" s="89"/>
      <c r="AB48" s="89"/>
      <c r="AC48" s="162"/>
      <c r="AD48" s="161"/>
      <c r="AE48" s="89"/>
      <c r="AF48" s="91"/>
      <c r="AG48" s="89"/>
      <c r="AH48" s="84"/>
      <c r="AI48" s="89"/>
      <c r="AJ48" s="89"/>
      <c r="AK48" s="89"/>
      <c r="AL48" s="162"/>
      <c r="AM48" s="161"/>
      <c r="AN48" s="89"/>
      <c r="AO48" s="91"/>
      <c r="AP48" s="89"/>
      <c r="AQ48" s="84"/>
      <c r="AR48" s="89"/>
      <c r="AS48" s="89"/>
      <c r="AT48" s="89"/>
      <c r="AU48" s="162"/>
      <c r="AV48" s="161"/>
      <c r="AW48" s="89"/>
      <c r="AX48" s="91"/>
      <c r="AY48" s="89"/>
      <c r="AZ48" s="84"/>
      <c r="BA48" s="89"/>
      <c r="BB48" s="89"/>
      <c r="BC48" s="89"/>
      <c r="BD48" s="162"/>
      <c r="BE48" s="161"/>
      <c r="BF48" s="89"/>
      <c r="BG48" s="91"/>
      <c r="BH48" s="89"/>
      <c r="BI48" s="84"/>
      <c r="BJ48" s="89"/>
      <c r="BK48" s="89"/>
      <c r="BL48" s="89"/>
      <c r="BM48" s="162"/>
      <c r="BN48" s="161"/>
      <c r="BO48" s="89"/>
      <c r="BP48" s="91"/>
      <c r="BQ48" s="89"/>
      <c r="BR48" s="84"/>
      <c r="BS48" s="89"/>
      <c r="BT48" s="89"/>
      <c r="BU48" s="89"/>
      <c r="BV48" s="162"/>
      <c r="BW48" s="161"/>
      <c r="BX48" s="89"/>
      <c r="BY48" s="91"/>
      <c r="BZ48" s="89"/>
      <c r="CA48" s="84"/>
      <c r="CB48" s="89"/>
      <c r="CC48" s="89"/>
      <c r="CD48" s="89"/>
      <c r="CE48" s="162"/>
      <c r="CF48" s="161"/>
      <c r="CG48" s="89"/>
      <c r="CH48" s="91"/>
      <c r="CI48" s="89"/>
      <c r="CJ48" s="84"/>
      <c r="CK48" s="89"/>
      <c r="CL48" s="89"/>
      <c r="CM48" s="89"/>
      <c r="CN48" s="162"/>
      <c r="CO48" s="161"/>
      <c r="CP48" s="89"/>
      <c r="CQ48" s="91"/>
      <c r="CR48" s="89"/>
      <c r="CS48" s="84"/>
      <c r="CT48" s="89"/>
      <c r="CU48" s="89"/>
      <c r="CV48" s="89"/>
      <c r="CW48" s="162"/>
      <c r="CX48" s="161"/>
      <c r="CY48" s="89"/>
      <c r="CZ48" s="91"/>
      <c r="DA48" s="89"/>
      <c r="DB48" s="84"/>
      <c r="DC48" s="89"/>
      <c r="DD48" s="89"/>
      <c r="DE48" s="89"/>
      <c r="DF48" s="162"/>
      <c r="DG48" s="161"/>
      <c r="DH48" s="89"/>
      <c r="DI48" s="91"/>
      <c r="DJ48" s="89"/>
      <c r="DK48" s="89"/>
      <c r="DL48" s="89"/>
    </row>
    <row r="49" ht="15.75" customHeight="1">
      <c r="A49" s="72"/>
      <c r="B49" s="153" t="str">
        <f>DPA!B70</f>
        <v>5.2.02.05.002.000
06</v>
      </c>
      <c r="C49" s="164" t="str">
        <f>DPA!C70</f>
        <v>Belanja Modal Alat Rumah Tangga Lainnya (Home Use)</v>
      </c>
      <c r="D49" s="72"/>
      <c r="E49" s="72"/>
      <c r="F49" s="154"/>
      <c r="G49" s="81"/>
      <c r="H49" s="81"/>
      <c r="I49" s="84"/>
      <c r="J49" s="155">
        <f>DPA!S70</f>
        <v>27024800</v>
      </c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72"/>
      <c r="DL49" s="84"/>
    </row>
    <row r="50" ht="15.75" customHeight="1">
      <c r="A50" s="72"/>
      <c r="B50" s="163"/>
      <c r="C50" s="165"/>
      <c r="D50" s="72" t="str">
        <f>DPA!D71</f>
        <v>-</v>
      </c>
      <c r="E50" s="8" t="str">
        <f>DPA!E71</f>
        <v>Televisi
Spesifikasi : Smart TV 70 Inch min. UHD 4K,
Garansi Min. 1 Tahun</v>
      </c>
      <c r="F50" s="9"/>
      <c r="G50" s="81"/>
      <c r="H50" s="81"/>
      <c r="I50" s="89">
        <f>DPA!R71</f>
        <v>27024800</v>
      </c>
      <c r="J50" s="156">
        <f>DPA!S71</f>
        <v>27024800</v>
      </c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72"/>
      <c r="DL50" s="84"/>
    </row>
    <row r="51" ht="15.75" customHeight="1">
      <c r="A51" s="72"/>
      <c r="B51" s="163"/>
      <c r="C51" s="165"/>
      <c r="D51" s="15"/>
      <c r="E51" s="8"/>
      <c r="F51" s="9"/>
      <c r="G51" s="81"/>
      <c r="H51" s="81"/>
      <c r="I51" s="89"/>
      <c r="J51" s="167"/>
      <c r="K51" s="84"/>
      <c r="L51" s="84"/>
      <c r="M51" s="84"/>
      <c r="N51" s="84"/>
      <c r="O51" s="84"/>
      <c r="P51" s="84"/>
      <c r="Q51" s="84"/>
      <c r="R51" s="84"/>
      <c r="S51" s="84"/>
      <c r="T51" s="162"/>
      <c r="U51" s="161"/>
      <c r="V51" s="84"/>
      <c r="W51" s="84"/>
      <c r="X51" s="84"/>
      <c r="Y51" s="84"/>
      <c r="Z51" s="84"/>
      <c r="AA51" s="84"/>
      <c r="AB51" s="84"/>
      <c r="AC51" s="162"/>
      <c r="AD51" s="161"/>
      <c r="AE51" s="84"/>
      <c r="AF51" s="84"/>
      <c r="AG51" s="84"/>
      <c r="AH51" s="84"/>
      <c r="AI51" s="84"/>
      <c r="AJ51" s="84"/>
      <c r="AK51" s="84"/>
      <c r="AL51" s="162"/>
      <c r="AM51" s="161"/>
      <c r="AN51" s="84"/>
      <c r="AO51" s="84"/>
      <c r="AP51" s="84"/>
      <c r="AQ51" s="84"/>
      <c r="AR51" s="84"/>
      <c r="AS51" s="84"/>
      <c r="AT51" s="84"/>
      <c r="AU51" s="162"/>
      <c r="AV51" s="161"/>
      <c r="AW51" s="84"/>
      <c r="AX51" s="84"/>
      <c r="AY51" s="84"/>
      <c r="AZ51" s="84"/>
      <c r="BA51" s="84"/>
      <c r="BB51" s="84"/>
      <c r="BC51" s="84"/>
      <c r="BD51" s="162"/>
      <c r="BE51" s="161"/>
      <c r="BF51" s="84"/>
      <c r="BG51" s="84"/>
      <c r="BH51" s="84"/>
      <c r="BI51" s="84"/>
      <c r="BJ51" s="84"/>
      <c r="BK51" s="84"/>
      <c r="BL51" s="84"/>
      <c r="BM51" s="162"/>
      <c r="BN51" s="161"/>
      <c r="BO51" s="84"/>
      <c r="BP51" s="84"/>
      <c r="BQ51" s="84"/>
      <c r="BR51" s="84"/>
      <c r="BS51" s="84"/>
      <c r="BT51" s="84"/>
      <c r="BU51" s="84"/>
      <c r="BV51" s="162"/>
      <c r="BW51" s="161"/>
      <c r="BX51" s="84"/>
      <c r="BY51" s="84"/>
      <c r="BZ51" s="84"/>
      <c r="CA51" s="84"/>
      <c r="CB51" s="84"/>
      <c r="CC51" s="84"/>
      <c r="CD51" s="84"/>
      <c r="CE51" s="162"/>
      <c r="CF51" s="161"/>
      <c r="CG51" s="84"/>
      <c r="CH51" s="84"/>
      <c r="CI51" s="84"/>
      <c r="CJ51" s="84"/>
      <c r="CK51" s="84"/>
      <c r="CL51" s="84"/>
      <c r="CM51" s="84"/>
      <c r="CN51" s="162"/>
      <c r="CO51" s="161"/>
      <c r="CP51" s="84"/>
      <c r="CQ51" s="84"/>
      <c r="CR51" s="84"/>
      <c r="CS51" s="84"/>
      <c r="CT51" s="84"/>
      <c r="CU51" s="84"/>
      <c r="CV51" s="84"/>
      <c r="CW51" s="162"/>
      <c r="CX51" s="161"/>
      <c r="CY51" s="84"/>
      <c r="CZ51" s="84"/>
      <c r="DA51" s="84"/>
      <c r="DB51" s="84"/>
      <c r="DC51" s="84"/>
      <c r="DD51" s="84"/>
      <c r="DE51" s="84"/>
      <c r="DF51" s="162"/>
      <c r="DG51" s="161"/>
      <c r="DH51" s="84"/>
      <c r="DI51" s="84"/>
      <c r="DJ51" s="84"/>
      <c r="DK51" s="72"/>
      <c r="DL51" s="84"/>
    </row>
    <row r="52" ht="15.75" customHeight="1">
      <c r="B52" s="168" t="s">
        <v>49</v>
      </c>
      <c r="C52" s="169"/>
      <c r="D52" s="169"/>
      <c r="E52" s="169"/>
      <c r="F52" s="169"/>
      <c r="G52" s="169"/>
      <c r="H52" s="169"/>
      <c r="I52" s="170"/>
      <c r="J52" s="171">
        <f>J11</f>
        <v>32999400</v>
      </c>
      <c r="K52" s="171"/>
      <c r="L52" s="171" t="str">
        <f>L11</f>
        <v/>
      </c>
      <c r="M52" s="171"/>
      <c r="N52" s="171"/>
      <c r="O52" s="171" t="str">
        <f>O11</f>
        <v/>
      </c>
      <c r="P52" s="171"/>
      <c r="Q52" s="171" t="str">
        <f>Q11</f>
        <v/>
      </c>
      <c r="R52" s="171"/>
      <c r="S52" s="171" t="str">
        <f>S11</f>
        <v/>
      </c>
      <c r="T52" s="171"/>
      <c r="U52" s="171"/>
      <c r="V52" s="171" t="str">
        <f>V11</f>
        <v/>
      </c>
      <c r="W52" s="171"/>
      <c r="X52" s="171" t="str">
        <f>X11</f>
        <v/>
      </c>
      <c r="Y52" s="171"/>
      <c r="Z52" s="171" t="str">
        <f>Z11</f>
        <v/>
      </c>
      <c r="AA52" s="171"/>
      <c r="AB52" s="171" t="str">
        <f>AB11</f>
        <v/>
      </c>
      <c r="AC52" s="171"/>
      <c r="AD52" s="171"/>
      <c r="AE52" s="171" t="str">
        <f>AE11</f>
        <v/>
      </c>
      <c r="AF52" s="171"/>
      <c r="AG52" s="171" t="str">
        <f>AG11</f>
        <v/>
      </c>
      <c r="AH52" s="171"/>
      <c r="AI52" s="171" t="str">
        <f>AI11</f>
        <v/>
      </c>
      <c r="AJ52" s="171"/>
      <c r="AK52" s="171" t="str">
        <f>AK11</f>
        <v/>
      </c>
      <c r="AL52" s="171"/>
      <c r="AM52" s="171"/>
      <c r="AN52" s="171" t="str">
        <f>AN11</f>
        <v/>
      </c>
      <c r="AO52" s="171"/>
      <c r="AP52" s="171" t="str">
        <f t="shared" ref="AP52:AR52" si="3">AP11</f>
        <v/>
      </c>
      <c r="AQ52" s="171" t="str">
        <f t="shared" si="3"/>
        <v/>
      </c>
      <c r="AR52" s="171" t="str">
        <f t="shared" si="3"/>
        <v/>
      </c>
      <c r="AS52" s="171"/>
      <c r="AT52" s="171" t="str">
        <f>AT11</f>
        <v/>
      </c>
      <c r="AU52" s="171"/>
      <c r="AV52" s="171" t="str">
        <f t="shared" ref="AV52:AW52" si="4">AV11</f>
        <v/>
      </c>
      <c r="AW52" s="171" t="str">
        <f t="shared" si="4"/>
        <v/>
      </c>
      <c r="AX52" s="171"/>
      <c r="AY52" s="171" t="str">
        <f t="shared" ref="AY52:BA52" si="5">AY11</f>
        <v/>
      </c>
      <c r="AZ52" s="171" t="str">
        <f t="shared" si="5"/>
        <v/>
      </c>
      <c r="BA52" s="171" t="str">
        <f t="shared" si="5"/>
        <v/>
      </c>
      <c r="BB52" s="171"/>
      <c r="BC52" s="171" t="str">
        <f>BC11</f>
        <v/>
      </c>
      <c r="BD52" s="171"/>
      <c r="BE52" s="171"/>
      <c r="BF52" s="171" t="str">
        <f>BF11</f>
        <v/>
      </c>
      <c r="BG52" s="171"/>
      <c r="BH52" s="171" t="str">
        <f>BH11</f>
        <v/>
      </c>
      <c r="BI52" s="171"/>
      <c r="BJ52" s="171" t="str">
        <f>BJ11</f>
        <v/>
      </c>
      <c r="BK52" s="171"/>
      <c r="BL52" s="171" t="str">
        <f>BL11</f>
        <v/>
      </c>
      <c r="BM52" s="171"/>
      <c r="BN52" s="171"/>
      <c r="BO52" s="171" t="str">
        <f>BO11</f>
        <v/>
      </c>
      <c r="BP52" s="171"/>
      <c r="BQ52" s="171" t="str">
        <f>BQ11</f>
        <v/>
      </c>
      <c r="BR52" s="171"/>
      <c r="BS52" s="171" t="str">
        <f>BS11</f>
        <v/>
      </c>
      <c r="BT52" s="171"/>
      <c r="BU52" s="171" t="str">
        <f>BU11</f>
        <v/>
      </c>
      <c r="BV52" s="171"/>
      <c r="BW52" s="171"/>
      <c r="BX52" s="171" t="str">
        <f>BX11</f>
        <v/>
      </c>
      <c r="BY52" s="171"/>
      <c r="BZ52" s="171" t="str">
        <f>BZ11</f>
        <v/>
      </c>
      <c r="CA52" s="171"/>
      <c r="CB52" s="171" t="str">
        <f>CB11</f>
        <v/>
      </c>
      <c r="CC52" s="171"/>
      <c r="CD52" s="171" t="str">
        <f>CD11</f>
        <v/>
      </c>
      <c r="CE52" s="171"/>
      <c r="CF52" s="171"/>
      <c r="CG52" s="171" t="str">
        <f>CG11</f>
        <v/>
      </c>
      <c r="CH52" s="171"/>
      <c r="CI52" s="171" t="str">
        <f>CI11</f>
        <v/>
      </c>
      <c r="CJ52" s="171"/>
      <c r="CK52" s="171" t="str">
        <f>CK11</f>
        <v/>
      </c>
      <c r="CL52" s="171"/>
      <c r="CM52" s="171" t="str">
        <f>CM11</f>
        <v/>
      </c>
      <c r="CN52" s="171"/>
      <c r="CO52" s="171"/>
      <c r="CP52" s="171" t="str">
        <f>CP11</f>
        <v/>
      </c>
      <c r="CQ52" s="171"/>
      <c r="CR52" s="171" t="str">
        <f>CR11</f>
        <v/>
      </c>
      <c r="CS52" s="171"/>
      <c r="CT52" s="171" t="str">
        <f>CT11</f>
        <v/>
      </c>
      <c r="CU52" s="171"/>
      <c r="CV52" s="171" t="str">
        <f>CV11</f>
        <v/>
      </c>
      <c r="CW52" s="171"/>
      <c r="CX52" s="171"/>
      <c r="CY52" s="171" t="str">
        <f>CY11</f>
        <v/>
      </c>
      <c r="CZ52" s="171"/>
      <c r="DA52" s="171" t="str">
        <f>DA11</f>
        <v/>
      </c>
      <c r="DB52" s="171"/>
      <c r="DC52" s="171" t="str">
        <f>DC11</f>
        <v/>
      </c>
      <c r="DD52" s="171"/>
      <c r="DE52" s="171" t="str">
        <f>DE11</f>
        <v/>
      </c>
      <c r="DF52" s="171"/>
      <c r="DG52" s="171"/>
      <c r="DH52" s="171" t="str">
        <f>DH11</f>
        <v/>
      </c>
      <c r="DI52" s="171"/>
      <c r="DJ52" s="171" t="str">
        <f>DJ11</f>
        <v/>
      </c>
      <c r="DK52" s="172"/>
      <c r="DL52" s="173" t="str">
        <f>DL11</f>
        <v/>
      </c>
    </row>
    <row r="53" ht="15.75" customHeight="1">
      <c r="B53" s="174"/>
      <c r="K53" s="8"/>
      <c r="L53" s="8"/>
      <c r="O53" s="8"/>
      <c r="Q53" s="8"/>
      <c r="R53" s="8"/>
      <c r="S53" s="8"/>
      <c r="Y53" s="92"/>
    </row>
    <row r="54" ht="15.75" customHeight="1">
      <c r="F54" s="92"/>
      <c r="K54" s="8"/>
      <c r="L54" s="8"/>
      <c r="O54" s="8"/>
      <c r="Q54" s="8"/>
      <c r="R54" s="8"/>
      <c r="S54" s="8"/>
      <c r="Z54" s="92"/>
      <c r="AB54" s="97" t="str">
        <f>#REF!</f>
        <v>#REF!</v>
      </c>
      <c r="AI54" s="92"/>
      <c r="BA54" s="92"/>
      <c r="BC54" s="97"/>
      <c r="BK54" s="92"/>
      <c r="BL54" s="97"/>
      <c r="BP54" s="175"/>
      <c r="BQ54" s="97"/>
      <c r="CD54" s="97"/>
      <c r="CK54" s="92"/>
      <c r="CM54" s="97"/>
      <c r="CR54" s="97"/>
      <c r="CV54" s="97"/>
      <c r="DA54" s="97"/>
      <c r="DC54" s="92"/>
      <c r="DE54" s="97"/>
    </row>
    <row r="55" ht="15.75" customHeight="1">
      <c r="J55" s="97"/>
      <c r="K55" s="8"/>
      <c r="L55" s="8"/>
      <c r="O55" s="8"/>
      <c r="Q55" s="8"/>
      <c r="R55" s="8"/>
      <c r="S55" s="8"/>
      <c r="Z55" s="92">
        <f>J55*2</f>
        <v>0</v>
      </c>
      <c r="AB55" s="97"/>
      <c r="AI55" s="97"/>
      <c r="BA55" s="97"/>
      <c r="BC55" s="97"/>
      <c r="BL55" s="97"/>
      <c r="BQ55" s="97"/>
      <c r="CD55" s="97"/>
      <c r="CR55" s="97"/>
      <c r="CV55" s="97"/>
      <c r="DE55" s="97"/>
    </row>
    <row r="56" ht="15.75" customHeight="1">
      <c r="K56" s="8"/>
      <c r="L56" s="8"/>
      <c r="O56" s="8"/>
      <c r="Q56" s="8"/>
      <c r="R56" s="8"/>
      <c r="S56" s="8"/>
      <c r="Z56" s="92"/>
      <c r="AI56" s="92"/>
      <c r="BA56" s="92"/>
      <c r="BL56" s="92"/>
      <c r="CK56" s="92"/>
      <c r="DC56" s="92"/>
    </row>
    <row r="57" ht="15.75" customHeight="1">
      <c r="K57" s="8"/>
      <c r="L57" s="8"/>
      <c r="O57" s="8"/>
      <c r="Q57" s="8"/>
      <c r="R57" s="8"/>
      <c r="S57" s="8"/>
      <c r="Z57" s="92"/>
      <c r="AI57" s="92"/>
      <c r="BA57" s="92"/>
      <c r="BL57" s="92"/>
      <c r="CK57" s="92"/>
      <c r="DE57" s="92"/>
    </row>
    <row r="58" ht="15.75" customHeight="1">
      <c r="K58" s="8"/>
      <c r="L58" s="8"/>
      <c r="O58" s="8"/>
      <c r="Q58" s="8"/>
      <c r="R58" s="8"/>
      <c r="S58" s="8"/>
      <c r="Z58" s="92"/>
      <c r="AI58" s="92"/>
      <c r="BA58" s="92"/>
      <c r="BL58" s="92"/>
      <c r="CK58" s="92"/>
      <c r="DC58" s="92"/>
    </row>
    <row r="59" ht="15.75" customHeight="1">
      <c r="K59" s="8"/>
      <c r="L59" s="8"/>
      <c r="O59" s="8"/>
      <c r="Q59" s="8"/>
      <c r="R59" s="8"/>
      <c r="S59" s="8"/>
      <c r="BA59" s="97"/>
      <c r="BL59" s="97"/>
    </row>
    <row r="60" ht="15.75" customHeight="1">
      <c r="K60" s="8"/>
      <c r="L60" s="8"/>
      <c r="O60" s="8"/>
      <c r="Q60" s="8"/>
      <c r="R60" s="8"/>
      <c r="S60" s="8"/>
      <c r="Y60" s="92"/>
      <c r="Z60" s="97"/>
      <c r="AH60" s="92" t="str">
        <f>AI60/#REF!</f>
        <v>#REF!</v>
      </c>
      <c r="AI60" s="97">
        <v>9.64E7</v>
      </c>
      <c r="AZ60" s="92"/>
      <c r="BA60" s="97"/>
      <c r="BK60" s="92"/>
      <c r="BL60" s="97"/>
      <c r="CJ60" s="92"/>
      <c r="CK60" s="92"/>
    </row>
    <row r="61" ht="15.75" customHeight="1">
      <c r="K61" s="8"/>
      <c r="L61" s="8"/>
      <c r="O61" s="8"/>
      <c r="Q61" s="8"/>
      <c r="R61" s="8"/>
      <c r="S61" s="8"/>
    </row>
    <row r="62" ht="15.75" customHeight="1">
      <c r="K62" s="8"/>
      <c r="L62" s="8"/>
      <c r="O62" s="8"/>
      <c r="Q62" s="8"/>
      <c r="R62" s="8"/>
      <c r="S62" s="8"/>
    </row>
    <row r="63" ht="15.75" customHeight="1">
      <c r="K63" s="8"/>
      <c r="L63" s="8"/>
      <c r="O63" s="8"/>
      <c r="Q63" s="8"/>
      <c r="R63" s="8"/>
      <c r="S63" s="8"/>
    </row>
    <row r="64" ht="15.75" customHeight="1">
      <c r="K64" s="8"/>
      <c r="L64" s="8"/>
      <c r="O64" s="8"/>
      <c r="Q64" s="8"/>
      <c r="R64" s="8"/>
      <c r="S64" s="8"/>
    </row>
    <row r="65" ht="15.75" customHeight="1">
      <c r="K65" s="8"/>
      <c r="L65" s="8"/>
      <c r="O65" s="8"/>
      <c r="Q65" s="8"/>
      <c r="R65" s="8"/>
      <c r="S65" s="8"/>
    </row>
    <row r="66" ht="15.75" customHeight="1">
      <c r="K66" s="8"/>
      <c r="L66" s="8"/>
      <c r="O66" s="8"/>
      <c r="Q66" s="8"/>
      <c r="R66" s="8"/>
      <c r="S66" s="8"/>
    </row>
    <row r="67" ht="15.75" customHeight="1">
      <c r="K67" s="8"/>
      <c r="L67" s="8"/>
      <c r="O67" s="8"/>
      <c r="Q67" s="8"/>
      <c r="R67" s="8"/>
      <c r="S67" s="8"/>
    </row>
    <row r="68" ht="15.75" customHeight="1">
      <c r="K68" s="8"/>
      <c r="L68" s="8"/>
      <c r="O68" s="8"/>
      <c r="Q68" s="8"/>
      <c r="R68" s="8"/>
      <c r="S68" s="8"/>
    </row>
    <row r="69" ht="15.75" customHeight="1">
      <c r="K69" s="8"/>
      <c r="L69" s="8"/>
      <c r="O69" s="8"/>
      <c r="Q69" s="8"/>
      <c r="R69" s="8"/>
      <c r="S69" s="8"/>
    </row>
    <row r="70" ht="15.75" customHeight="1">
      <c r="K70" s="8"/>
      <c r="L70" s="8"/>
      <c r="O70" s="8"/>
      <c r="Q70" s="8"/>
      <c r="R70" s="8"/>
      <c r="S70" s="8"/>
    </row>
    <row r="71" ht="15.75" customHeight="1">
      <c r="K71" s="8"/>
      <c r="L71" s="8"/>
      <c r="O71" s="8"/>
      <c r="Q71" s="8"/>
      <c r="R71" s="8"/>
      <c r="S71" s="8"/>
    </row>
    <row r="72" ht="15.75" customHeight="1">
      <c r="K72" s="8"/>
      <c r="L72" s="8"/>
      <c r="O72" s="8"/>
      <c r="Q72" s="8"/>
      <c r="R72" s="8"/>
      <c r="S72" s="8"/>
    </row>
    <row r="73" ht="15.75" customHeight="1">
      <c r="K73" s="8"/>
      <c r="L73" s="8"/>
      <c r="O73" s="8"/>
      <c r="Q73" s="8"/>
      <c r="R73" s="8"/>
      <c r="S73" s="8"/>
    </row>
    <row r="74" ht="15.75" customHeight="1">
      <c r="K74" s="8"/>
      <c r="L74" s="8"/>
      <c r="O74" s="8"/>
      <c r="Q74" s="8"/>
      <c r="R74" s="8"/>
      <c r="S74" s="8"/>
    </row>
    <row r="75" ht="15.75" customHeight="1">
      <c r="K75" s="8"/>
      <c r="L75" s="8"/>
      <c r="O75" s="8"/>
      <c r="Q75" s="8"/>
      <c r="R75" s="8"/>
      <c r="S75" s="8"/>
    </row>
    <row r="76" ht="15.75" customHeight="1">
      <c r="K76" s="8"/>
      <c r="L76" s="8"/>
      <c r="O76" s="8"/>
      <c r="Q76" s="8"/>
      <c r="R76" s="8"/>
      <c r="S76" s="8"/>
    </row>
    <row r="77" ht="15.75" customHeight="1">
      <c r="K77" s="8"/>
      <c r="L77" s="8"/>
      <c r="O77" s="8"/>
      <c r="Q77" s="8"/>
      <c r="R77" s="8"/>
      <c r="S77" s="8"/>
    </row>
    <row r="78" ht="15.75" customHeight="1">
      <c r="K78" s="8"/>
      <c r="L78" s="8"/>
      <c r="O78" s="8"/>
      <c r="Q78" s="8"/>
      <c r="R78" s="8"/>
      <c r="S78" s="8"/>
    </row>
    <row r="79" ht="15.75" customHeight="1">
      <c r="K79" s="8"/>
      <c r="L79" s="8"/>
      <c r="O79" s="8"/>
      <c r="Q79" s="8"/>
      <c r="R79" s="8"/>
      <c r="S79" s="8"/>
    </row>
    <row r="80" ht="15.75" customHeight="1">
      <c r="K80" s="8"/>
      <c r="L80" s="8"/>
      <c r="O80" s="8"/>
      <c r="Q80" s="8"/>
      <c r="R80" s="8"/>
      <c r="S80" s="8"/>
    </row>
    <row r="81" ht="15.75" customHeight="1">
      <c r="K81" s="8"/>
      <c r="L81" s="8"/>
      <c r="O81" s="8"/>
      <c r="Q81" s="8"/>
      <c r="R81" s="8"/>
      <c r="S81" s="8"/>
    </row>
    <row r="82" ht="15.75" customHeight="1">
      <c r="K82" s="8"/>
      <c r="L82" s="8"/>
      <c r="O82" s="8"/>
      <c r="Q82" s="8"/>
      <c r="R82" s="8"/>
      <c r="S82" s="8"/>
    </row>
    <row r="83" ht="15.75" customHeight="1">
      <c r="K83" s="8"/>
      <c r="L83" s="8"/>
      <c r="O83" s="8"/>
      <c r="Q83" s="8"/>
      <c r="R83" s="8"/>
      <c r="S83" s="8"/>
    </row>
    <row r="84" ht="15.75" customHeight="1">
      <c r="K84" s="8"/>
      <c r="L84" s="8"/>
      <c r="O84" s="8"/>
      <c r="Q84" s="8"/>
      <c r="R84" s="8"/>
      <c r="S84" s="8"/>
    </row>
    <row r="85" ht="15.75" customHeight="1">
      <c r="K85" s="8"/>
      <c r="L85" s="8"/>
      <c r="O85" s="8"/>
      <c r="Q85" s="8"/>
      <c r="R85" s="8"/>
      <c r="S85" s="8"/>
    </row>
    <row r="86" ht="15.75" customHeight="1">
      <c r="K86" s="8"/>
      <c r="L86" s="8"/>
      <c r="O86" s="8"/>
      <c r="Q86" s="8"/>
      <c r="R86" s="8"/>
      <c r="S86" s="8"/>
    </row>
    <row r="87" ht="15.75" customHeight="1">
      <c r="K87" s="8"/>
      <c r="L87" s="8"/>
      <c r="O87" s="8"/>
      <c r="Q87" s="8"/>
      <c r="R87" s="8"/>
      <c r="S87" s="8"/>
    </row>
    <row r="88" ht="15.75" customHeight="1">
      <c r="K88" s="8"/>
      <c r="L88" s="8"/>
      <c r="O88" s="8"/>
      <c r="Q88" s="8"/>
      <c r="R88" s="8"/>
      <c r="S88" s="8"/>
    </row>
    <row r="89" ht="15.75" customHeight="1">
      <c r="K89" s="8"/>
      <c r="L89" s="8"/>
      <c r="O89" s="8"/>
      <c r="Q89" s="8"/>
      <c r="R89" s="8"/>
      <c r="S89" s="8"/>
    </row>
    <row r="90" ht="15.75" customHeight="1">
      <c r="K90" s="8"/>
      <c r="L90" s="8"/>
      <c r="O90" s="8"/>
      <c r="Q90" s="8"/>
      <c r="R90" s="8"/>
      <c r="S90" s="8"/>
    </row>
    <row r="91" ht="15.75" customHeight="1">
      <c r="K91" s="8"/>
      <c r="L91" s="8"/>
      <c r="O91" s="8"/>
      <c r="Q91" s="8"/>
      <c r="R91" s="8"/>
      <c r="S91" s="8"/>
    </row>
    <row r="92" ht="15.75" customHeight="1">
      <c r="K92" s="8"/>
      <c r="L92" s="8"/>
      <c r="O92" s="8"/>
      <c r="Q92" s="8"/>
      <c r="R92" s="8"/>
      <c r="S92" s="8"/>
    </row>
    <row r="93" ht="15.75" customHeight="1">
      <c r="K93" s="8"/>
      <c r="L93" s="8"/>
      <c r="O93" s="8"/>
      <c r="Q93" s="8"/>
      <c r="R93" s="8"/>
      <c r="S93" s="8"/>
    </row>
    <row r="94" ht="15.75" customHeight="1">
      <c r="K94" s="8"/>
      <c r="L94" s="8"/>
      <c r="O94" s="8"/>
      <c r="Q94" s="8"/>
      <c r="R94" s="8"/>
      <c r="S94" s="8"/>
    </row>
    <row r="95" ht="15.75" customHeight="1">
      <c r="K95" s="8"/>
      <c r="L95" s="8"/>
      <c r="O95" s="8"/>
      <c r="Q95" s="8"/>
      <c r="R95" s="8"/>
      <c r="S95" s="8"/>
    </row>
    <row r="96" ht="15.75" customHeight="1">
      <c r="K96" s="8"/>
      <c r="L96" s="8"/>
      <c r="O96" s="8"/>
      <c r="Q96" s="8"/>
      <c r="R96" s="8"/>
      <c r="S96" s="8"/>
    </row>
    <row r="97" ht="15.75" customHeight="1">
      <c r="K97" s="8"/>
      <c r="L97" s="8"/>
      <c r="O97" s="8"/>
      <c r="Q97" s="8"/>
      <c r="R97" s="8"/>
      <c r="S97" s="8"/>
    </row>
    <row r="98" ht="15.75" customHeight="1">
      <c r="K98" s="8"/>
      <c r="L98" s="8"/>
      <c r="O98" s="8"/>
      <c r="Q98" s="8"/>
      <c r="R98" s="8"/>
      <c r="S98" s="8"/>
    </row>
    <row r="99" ht="15.75" customHeight="1">
      <c r="K99" s="8"/>
      <c r="L99" s="8"/>
      <c r="O99" s="8"/>
      <c r="Q99" s="8"/>
      <c r="R99" s="8"/>
      <c r="S99" s="8"/>
    </row>
    <row r="100" ht="15.75" customHeight="1">
      <c r="K100" s="8"/>
      <c r="L100" s="8"/>
      <c r="O100" s="8"/>
      <c r="Q100" s="8"/>
      <c r="R100" s="8"/>
      <c r="S100" s="8"/>
    </row>
    <row r="101" ht="15.75" customHeight="1">
      <c r="K101" s="8"/>
      <c r="L101" s="8"/>
      <c r="O101" s="8"/>
      <c r="Q101" s="8"/>
      <c r="R101" s="8"/>
      <c r="S101" s="8"/>
    </row>
    <row r="102" ht="15.75" customHeight="1">
      <c r="K102" s="8"/>
      <c r="L102" s="8"/>
      <c r="O102" s="8"/>
      <c r="Q102" s="8"/>
      <c r="R102" s="8"/>
      <c r="S102" s="8"/>
    </row>
    <row r="103" ht="15.75" customHeight="1">
      <c r="K103" s="8"/>
      <c r="L103" s="8"/>
      <c r="O103" s="8"/>
      <c r="Q103" s="8"/>
      <c r="R103" s="8"/>
      <c r="S103" s="8"/>
    </row>
    <row r="104" ht="15.75" customHeight="1">
      <c r="K104" s="8"/>
      <c r="L104" s="8"/>
      <c r="O104" s="8"/>
      <c r="Q104" s="8"/>
      <c r="R104" s="8"/>
      <c r="S104" s="8"/>
    </row>
    <row r="105" ht="15.75" customHeight="1">
      <c r="K105" s="8"/>
      <c r="L105" s="8"/>
      <c r="O105" s="8"/>
      <c r="Q105" s="8"/>
      <c r="R105" s="8"/>
      <c r="S105" s="8"/>
    </row>
    <row r="106" ht="15.75" customHeight="1">
      <c r="K106" s="8"/>
      <c r="L106" s="8"/>
      <c r="O106" s="8"/>
      <c r="Q106" s="8"/>
      <c r="R106" s="8"/>
      <c r="S106" s="8"/>
    </row>
    <row r="107" ht="15.75" customHeight="1">
      <c r="K107" s="8"/>
      <c r="L107" s="8"/>
      <c r="O107" s="8"/>
      <c r="Q107" s="8"/>
      <c r="R107" s="8"/>
      <c r="S107" s="8"/>
    </row>
    <row r="108" ht="15.75" customHeight="1">
      <c r="K108" s="8"/>
      <c r="L108" s="8"/>
      <c r="O108" s="8"/>
      <c r="Q108" s="8"/>
      <c r="R108" s="8"/>
      <c r="S108" s="8"/>
    </row>
    <row r="109" ht="15.75" customHeight="1">
      <c r="K109" s="8"/>
      <c r="L109" s="8"/>
      <c r="O109" s="8"/>
      <c r="Q109" s="8"/>
      <c r="R109" s="8"/>
      <c r="S109" s="8"/>
    </row>
    <row r="110" ht="15.75" customHeight="1">
      <c r="K110" s="8"/>
      <c r="L110" s="8"/>
      <c r="O110" s="8"/>
      <c r="Q110" s="8"/>
      <c r="R110" s="8"/>
      <c r="S110" s="8"/>
    </row>
    <row r="111" ht="15.75" customHeight="1">
      <c r="K111" s="8"/>
      <c r="L111" s="8"/>
      <c r="O111" s="8"/>
      <c r="Q111" s="8"/>
      <c r="R111" s="8"/>
      <c r="S111" s="8"/>
    </row>
    <row r="112" ht="15.75" customHeight="1">
      <c r="K112" s="8"/>
      <c r="L112" s="8"/>
      <c r="O112" s="8"/>
      <c r="Q112" s="8"/>
      <c r="R112" s="8"/>
      <c r="S112" s="8"/>
    </row>
    <row r="113" ht="15.75" customHeight="1">
      <c r="K113" s="8"/>
      <c r="L113" s="8"/>
      <c r="O113" s="8"/>
      <c r="Q113" s="8"/>
      <c r="R113" s="8"/>
      <c r="S113" s="8"/>
    </row>
    <row r="114" ht="15.75" customHeight="1">
      <c r="K114" s="8"/>
      <c r="L114" s="8"/>
      <c r="O114" s="8"/>
      <c r="Q114" s="8"/>
      <c r="R114" s="8"/>
      <c r="S114" s="8"/>
    </row>
    <row r="115" ht="15.75" customHeight="1">
      <c r="K115" s="8"/>
      <c r="L115" s="8"/>
      <c r="O115" s="8"/>
      <c r="Q115" s="8"/>
      <c r="R115" s="8"/>
      <c r="S115" s="8"/>
    </row>
    <row r="116" ht="15.75" customHeight="1">
      <c r="K116" s="8"/>
      <c r="L116" s="8"/>
      <c r="O116" s="8"/>
      <c r="Q116" s="8"/>
      <c r="R116" s="8"/>
      <c r="S116" s="8"/>
    </row>
    <row r="117" ht="15.75" customHeight="1">
      <c r="K117" s="8"/>
      <c r="L117" s="8"/>
      <c r="O117" s="8"/>
      <c r="Q117" s="8"/>
      <c r="R117" s="8"/>
      <c r="S117" s="8"/>
    </row>
    <row r="118" ht="15.75" customHeight="1">
      <c r="K118" s="8"/>
      <c r="L118" s="8"/>
      <c r="O118" s="8"/>
      <c r="Q118" s="8"/>
      <c r="R118" s="8"/>
      <c r="S118" s="8"/>
    </row>
    <row r="119" ht="15.75" customHeight="1">
      <c r="K119" s="8"/>
      <c r="L119" s="8"/>
      <c r="O119" s="8"/>
      <c r="Q119" s="8"/>
      <c r="R119" s="8"/>
      <c r="S119" s="8"/>
    </row>
    <row r="120" ht="15.75" customHeight="1">
      <c r="K120" s="8"/>
      <c r="L120" s="8"/>
      <c r="O120" s="8"/>
      <c r="Q120" s="8"/>
      <c r="R120" s="8"/>
      <c r="S120" s="8"/>
    </row>
    <row r="121" ht="15.75" customHeight="1">
      <c r="K121" s="8"/>
      <c r="L121" s="8"/>
      <c r="O121" s="8"/>
      <c r="Q121" s="8"/>
      <c r="R121" s="8"/>
      <c r="S121" s="8"/>
    </row>
    <row r="122" ht="15.75" customHeight="1">
      <c r="K122" s="8"/>
      <c r="L122" s="8"/>
      <c r="O122" s="8"/>
      <c r="Q122" s="8"/>
      <c r="R122" s="8"/>
      <c r="S122" s="8"/>
    </row>
    <row r="123" ht="15.75" customHeight="1">
      <c r="K123" s="8"/>
      <c r="L123" s="8"/>
      <c r="O123" s="8"/>
      <c r="Q123" s="8"/>
      <c r="R123" s="8"/>
      <c r="S123" s="8"/>
    </row>
    <row r="124" ht="15.75" customHeight="1">
      <c r="K124" s="8"/>
      <c r="L124" s="8"/>
      <c r="O124" s="8"/>
      <c r="Q124" s="8"/>
      <c r="R124" s="8"/>
      <c r="S124" s="8"/>
    </row>
    <row r="125" ht="15.75" customHeight="1">
      <c r="K125" s="8"/>
      <c r="L125" s="8"/>
      <c r="O125" s="8"/>
      <c r="Q125" s="8"/>
      <c r="R125" s="8"/>
      <c r="S125" s="8"/>
    </row>
    <row r="126" ht="15.75" customHeight="1">
      <c r="K126" s="8"/>
      <c r="L126" s="8"/>
      <c r="O126" s="8"/>
      <c r="Q126" s="8"/>
      <c r="R126" s="8"/>
      <c r="S126" s="8"/>
    </row>
    <row r="127" ht="15.75" customHeight="1">
      <c r="K127" s="8"/>
      <c r="L127" s="8"/>
      <c r="O127" s="8"/>
      <c r="Q127" s="8"/>
      <c r="R127" s="8"/>
      <c r="S127" s="8"/>
    </row>
    <row r="128" ht="15.75" customHeight="1">
      <c r="K128" s="8"/>
      <c r="L128" s="8"/>
      <c r="O128" s="8"/>
      <c r="Q128" s="8"/>
      <c r="R128" s="8"/>
      <c r="S128" s="8"/>
    </row>
    <row r="129" ht="15.75" customHeight="1">
      <c r="K129" s="8"/>
      <c r="L129" s="8"/>
      <c r="O129" s="8"/>
      <c r="Q129" s="8"/>
      <c r="R129" s="8"/>
      <c r="S129" s="8"/>
    </row>
    <row r="130" ht="15.75" customHeight="1">
      <c r="K130" s="8"/>
      <c r="L130" s="8"/>
      <c r="O130" s="8"/>
      <c r="Q130" s="8"/>
      <c r="R130" s="8"/>
      <c r="S130" s="8"/>
    </row>
    <row r="131" ht="15.75" customHeight="1">
      <c r="K131" s="8"/>
      <c r="L131" s="8"/>
      <c r="O131" s="8"/>
      <c r="Q131" s="8"/>
      <c r="R131" s="8"/>
      <c r="S131" s="8"/>
    </row>
    <row r="132" ht="15.75" customHeight="1">
      <c r="K132" s="8"/>
      <c r="L132" s="8"/>
      <c r="O132" s="8"/>
      <c r="Q132" s="8"/>
      <c r="R132" s="8"/>
      <c r="S132" s="8"/>
    </row>
    <row r="133" ht="15.75" customHeight="1">
      <c r="K133" s="8"/>
      <c r="L133" s="8"/>
      <c r="O133" s="8"/>
      <c r="Q133" s="8"/>
      <c r="R133" s="8"/>
      <c r="S133" s="8"/>
    </row>
    <row r="134" ht="15.75" customHeight="1">
      <c r="K134" s="8"/>
      <c r="L134" s="8"/>
      <c r="O134" s="8"/>
      <c r="Q134" s="8"/>
      <c r="R134" s="8"/>
      <c r="S134" s="8"/>
    </row>
    <row r="135" ht="15.75" customHeight="1">
      <c r="K135" s="8"/>
      <c r="L135" s="8"/>
      <c r="O135" s="8"/>
      <c r="Q135" s="8"/>
      <c r="R135" s="8"/>
      <c r="S135" s="8"/>
    </row>
    <row r="136" ht="15.75" customHeight="1">
      <c r="K136" s="8"/>
      <c r="L136" s="8"/>
      <c r="O136" s="8"/>
      <c r="Q136" s="8"/>
      <c r="R136" s="8"/>
      <c r="S136" s="8"/>
    </row>
    <row r="137" ht="15.75" customHeight="1">
      <c r="K137" s="8"/>
      <c r="L137" s="8"/>
      <c r="O137" s="8"/>
      <c r="Q137" s="8"/>
      <c r="R137" s="8"/>
      <c r="S137" s="8"/>
    </row>
    <row r="138" ht="15.75" customHeight="1">
      <c r="K138" s="8"/>
      <c r="L138" s="8"/>
      <c r="O138" s="8"/>
      <c r="Q138" s="8"/>
      <c r="R138" s="8"/>
      <c r="S138" s="8"/>
    </row>
    <row r="139" ht="15.75" customHeight="1">
      <c r="K139" s="8"/>
      <c r="L139" s="8"/>
      <c r="O139" s="8"/>
      <c r="Q139" s="8"/>
      <c r="R139" s="8"/>
      <c r="S139" s="8"/>
    </row>
    <row r="140" ht="15.75" customHeight="1">
      <c r="K140" s="8"/>
      <c r="L140" s="8"/>
      <c r="O140" s="8"/>
      <c r="Q140" s="8"/>
      <c r="R140" s="8"/>
      <c r="S140" s="8"/>
    </row>
    <row r="141" ht="15.75" customHeight="1">
      <c r="K141" s="8"/>
      <c r="L141" s="8"/>
      <c r="O141" s="8"/>
      <c r="Q141" s="8"/>
      <c r="R141" s="8"/>
      <c r="S141" s="8"/>
    </row>
    <row r="142" ht="15.75" customHeight="1">
      <c r="K142" s="8"/>
      <c r="L142" s="8"/>
      <c r="O142" s="8"/>
      <c r="Q142" s="8"/>
      <c r="R142" s="8"/>
      <c r="S142" s="8"/>
    </row>
    <row r="143" ht="15.75" customHeight="1">
      <c r="K143" s="8"/>
      <c r="L143" s="8"/>
      <c r="O143" s="8"/>
      <c r="Q143" s="8"/>
      <c r="R143" s="8"/>
      <c r="S143" s="8"/>
    </row>
    <row r="144" ht="15.75" customHeight="1">
      <c r="K144" s="8"/>
      <c r="L144" s="8"/>
      <c r="O144" s="8"/>
      <c r="Q144" s="8"/>
      <c r="R144" s="8"/>
      <c r="S144" s="8"/>
    </row>
    <row r="145" ht="15.75" customHeight="1">
      <c r="K145" s="8"/>
      <c r="L145" s="8"/>
      <c r="O145" s="8"/>
      <c r="Q145" s="8"/>
      <c r="R145" s="8"/>
      <c r="S145" s="8"/>
    </row>
    <row r="146" ht="15.75" customHeight="1">
      <c r="K146" s="8"/>
      <c r="L146" s="8"/>
      <c r="O146" s="8"/>
      <c r="Q146" s="8"/>
      <c r="R146" s="8"/>
      <c r="S146" s="8"/>
    </row>
    <row r="147" ht="15.75" customHeight="1">
      <c r="K147" s="8"/>
      <c r="L147" s="8"/>
      <c r="O147" s="8"/>
      <c r="Q147" s="8"/>
      <c r="R147" s="8"/>
      <c r="S147" s="8"/>
    </row>
    <row r="148" ht="15.75" customHeight="1">
      <c r="K148" s="8"/>
      <c r="L148" s="8"/>
      <c r="O148" s="8"/>
      <c r="Q148" s="8"/>
      <c r="R148" s="8"/>
      <c r="S148" s="8"/>
    </row>
    <row r="149" ht="15.75" customHeight="1">
      <c r="K149" s="8"/>
      <c r="L149" s="8"/>
      <c r="O149" s="8"/>
      <c r="Q149" s="8"/>
      <c r="R149" s="8"/>
      <c r="S149" s="8"/>
    </row>
    <row r="150" ht="15.75" customHeight="1">
      <c r="K150" s="8"/>
      <c r="L150" s="8"/>
      <c r="O150" s="8"/>
      <c r="Q150" s="8"/>
      <c r="R150" s="8"/>
      <c r="S150" s="8"/>
    </row>
    <row r="151" ht="15.75" customHeight="1">
      <c r="K151" s="8"/>
      <c r="L151" s="8"/>
      <c r="O151" s="8"/>
      <c r="Q151" s="8"/>
      <c r="R151" s="8"/>
      <c r="S151" s="8"/>
    </row>
    <row r="152" ht="15.75" customHeight="1">
      <c r="K152" s="8"/>
      <c r="L152" s="8"/>
      <c r="O152" s="8"/>
      <c r="Q152" s="8"/>
      <c r="R152" s="8"/>
      <c r="S152" s="8"/>
    </row>
    <row r="153" ht="15.75" customHeight="1">
      <c r="K153" s="8"/>
      <c r="L153" s="8"/>
      <c r="O153" s="8"/>
      <c r="Q153" s="8"/>
      <c r="R153" s="8"/>
      <c r="S153" s="8"/>
    </row>
    <row r="154" ht="15.75" customHeight="1">
      <c r="K154" s="8"/>
      <c r="L154" s="8"/>
      <c r="O154" s="8"/>
      <c r="Q154" s="8"/>
      <c r="R154" s="8"/>
      <c r="S154" s="8"/>
    </row>
    <row r="155" ht="15.75" customHeight="1">
      <c r="K155" s="8"/>
      <c r="L155" s="8"/>
      <c r="O155" s="8"/>
      <c r="Q155" s="8"/>
      <c r="R155" s="8"/>
      <c r="S155" s="8"/>
    </row>
    <row r="156" ht="15.75" customHeight="1">
      <c r="K156" s="8"/>
      <c r="L156" s="8"/>
      <c r="O156" s="8"/>
      <c r="Q156" s="8"/>
      <c r="R156" s="8"/>
      <c r="S156" s="8"/>
    </row>
    <row r="157" ht="15.75" customHeight="1">
      <c r="K157" s="8"/>
      <c r="L157" s="8"/>
      <c r="O157" s="8"/>
      <c r="Q157" s="8"/>
      <c r="R157" s="8"/>
      <c r="S157" s="8"/>
    </row>
    <row r="158" ht="15.75" customHeight="1">
      <c r="K158" s="8"/>
      <c r="L158" s="8"/>
      <c r="O158" s="8"/>
      <c r="Q158" s="8"/>
      <c r="R158" s="8"/>
      <c r="S158" s="8"/>
    </row>
    <row r="159" ht="15.75" customHeight="1">
      <c r="K159" s="8"/>
      <c r="L159" s="8"/>
      <c r="O159" s="8"/>
      <c r="Q159" s="8"/>
      <c r="R159" s="8"/>
      <c r="S159" s="8"/>
    </row>
    <row r="160" ht="15.75" customHeight="1">
      <c r="K160" s="8"/>
      <c r="L160" s="8"/>
      <c r="O160" s="8"/>
      <c r="Q160" s="8"/>
      <c r="R160" s="8"/>
      <c r="S160" s="8"/>
    </row>
    <row r="161" ht="15.75" customHeight="1">
      <c r="K161" s="8"/>
      <c r="L161" s="8"/>
      <c r="O161" s="8"/>
      <c r="Q161" s="8"/>
      <c r="R161" s="8"/>
      <c r="S161" s="8"/>
    </row>
    <row r="162" ht="15.75" customHeight="1">
      <c r="K162" s="8"/>
      <c r="L162" s="8"/>
      <c r="O162" s="8"/>
      <c r="Q162" s="8"/>
      <c r="R162" s="8"/>
      <c r="S162" s="8"/>
    </row>
    <row r="163" ht="15.75" customHeight="1">
      <c r="K163" s="8"/>
      <c r="L163" s="8"/>
      <c r="O163" s="8"/>
      <c r="Q163" s="8"/>
      <c r="R163" s="8"/>
      <c r="S163" s="8"/>
    </row>
    <row r="164" ht="15.75" customHeight="1">
      <c r="K164" s="8"/>
      <c r="L164" s="8"/>
      <c r="O164" s="8"/>
      <c r="Q164" s="8"/>
      <c r="R164" s="8"/>
      <c r="S164" s="8"/>
    </row>
    <row r="165" ht="15.75" customHeight="1">
      <c r="K165" s="8"/>
      <c r="L165" s="8"/>
      <c r="O165" s="8"/>
      <c r="Q165" s="8"/>
      <c r="R165" s="8"/>
      <c r="S165" s="8"/>
    </row>
    <row r="166" ht="15.75" customHeight="1">
      <c r="K166" s="8"/>
      <c r="L166" s="8"/>
      <c r="O166" s="8"/>
      <c r="Q166" s="8"/>
      <c r="R166" s="8"/>
      <c r="S166" s="8"/>
    </row>
    <row r="167" ht="15.75" customHeight="1">
      <c r="K167" s="8"/>
      <c r="L167" s="8"/>
      <c r="O167" s="8"/>
      <c r="Q167" s="8"/>
      <c r="R167" s="8"/>
      <c r="S167" s="8"/>
    </row>
    <row r="168" ht="15.75" customHeight="1">
      <c r="K168" s="8"/>
      <c r="L168" s="8"/>
      <c r="O168" s="8"/>
      <c r="Q168" s="8"/>
      <c r="R168" s="8"/>
      <c r="S168" s="8"/>
    </row>
    <row r="169" ht="15.75" customHeight="1">
      <c r="K169" s="8"/>
      <c r="L169" s="8"/>
      <c r="O169" s="8"/>
      <c r="Q169" s="8"/>
      <c r="R169" s="8"/>
      <c r="S169" s="8"/>
    </row>
    <row r="170" ht="15.75" customHeight="1">
      <c r="K170" s="8"/>
      <c r="L170" s="8"/>
      <c r="O170" s="8"/>
      <c r="Q170" s="8"/>
      <c r="R170" s="8"/>
      <c r="S170" s="8"/>
    </row>
    <row r="171" ht="15.75" customHeight="1">
      <c r="K171" s="8"/>
      <c r="L171" s="8"/>
      <c r="O171" s="8"/>
      <c r="Q171" s="8"/>
      <c r="R171" s="8"/>
      <c r="S171" s="8"/>
    </row>
    <row r="172" ht="15.75" customHeight="1">
      <c r="K172" s="8"/>
      <c r="L172" s="8"/>
      <c r="O172" s="8"/>
      <c r="Q172" s="8"/>
      <c r="R172" s="8"/>
      <c r="S172" s="8"/>
    </row>
    <row r="173" ht="15.75" customHeight="1">
      <c r="K173" s="8"/>
      <c r="L173" s="8"/>
      <c r="O173" s="8"/>
      <c r="Q173" s="8"/>
      <c r="R173" s="8"/>
      <c r="S173" s="8"/>
    </row>
    <row r="174" ht="15.75" customHeight="1">
      <c r="K174" s="8"/>
      <c r="L174" s="8"/>
      <c r="O174" s="8"/>
      <c r="Q174" s="8"/>
      <c r="R174" s="8"/>
      <c r="S174" s="8"/>
    </row>
    <row r="175" ht="15.75" customHeight="1">
      <c r="K175" s="8"/>
      <c r="L175" s="8"/>
      <c r="O175" s="8"/>
      <c r="Q175" s="8"/>
      <c r="R175" s="8"/>
      <c r="S175" s="8"/>
    </row>
    <row r="176" ht="15.75" customHeight="1">
      <c r="K176" s="8"/>
      <c r="L176" s="8"/>
      <c r="O176" s="8"/>
      <c r="Q176" s="8"/>
      <c r="R176" s="8"/>
      <c r="S176" s="8"/>
    </row>
    <row r="177" ht="15.75" customHeight="1">
      <c r="K177" s="8"/>
      <c r="L177" s="8"/>
      <c r="O177" s="8"/>
      <c r="Q177" s="8"/>
      <c r="R177" s="8"/>
      <c r="S177" s="8"/>
    </row>
    <row r="178" ht="15.75" customHeight="1">
      <c r="K178" s="8"/>
      <c r="L178" s="8"/>
      <c r="O178" s="8"/>
      <c r="Q178" s="8"/>
      <c r="R178" s="8"/>
      <c r="S178" s="8"/>
    </row>
    <row r="179" ht="15.75" customHeight="1">
      <c r="K179" s="8"/>
      <c r="L179" s="8"/>
      <c r="O179" s="8"/>
      <c r="Q179" s="8"/>
      <c r="R179" s="8"/>
      <c r="S179" s="8"/>
    </row>
    <row r="180" ht="15.75" customHeight="1">
      <c r="K180" s="8"/>
      <c r="L180" s="8"/>
      <c r="O180" s="8"/>
      <c r="Q180" s="8"/>
      <c r="R180" s="8"/>
      <c r="S180" s="8"/>
    </row>
    <row r="181" ht="15.75" customHeight="1">
      <c r="K181" s="8"/>
      <c r="L181" s="8"/>
      <c r="O181" s="8"/>
      <c r="Q181" s="8"/>
      <c r="R181" s="8"/>
      <c r="S181" s="8"/>
    </row>
    <row r="182" ht="15.75" customHeight="1">
      <c r="K182" s="8"/>
      <c r="L182" s="8"/>
      <c r="O182" s="8"/>
      <c r="Q182" s="8"/>
      <c r="R182" s="8"/>
      <c r="S182" s="8"/>
    </row>
    <row r="183" ht="15.75" customHeight="1">
      <c r="K183" s="8"/>
      <c r="L183" s="8"/>
      <c r="O183" s="8"/>
      <c r="Q183" s="8"/>
      <c r="R183" s="8"/>
      <c r="S183" s="8"/>
    </row>
    <row r="184" ht="15.75" customHeight="1">
      <c r="K184" s="8"/>
      <c r="L184" s="8"/>
      <c r="O184" s="8"/>
      <c r="Q184" s="8"/>
      <c r="R184" s="8"/>
      <c r="S184" s="8"/>
    </row>
    <row r="185" ht="15.75" customHeight="1">
      <c r="K185" s="8"/>
      <c r="L185" s="8"/>
      <c r="O185" s="8"/>
      <c r="Q185" s="8"/>
      <c r="R185" s="8"/>
      <c r="S185" s="8"/>
    </row>
    <row r="186" ht="15.75" customHeight="1">
      <c r="K186" s="8"/>
      <c r="L186" s="8"/>
      <c r="O186" s="8"/>
      <c r="Q186" s="8"/>
      <c r="R186" s="8"/>
      <c r="S186" s="8"/>
    </row>
    <row r="187" ht="15.75" customHeight="1">
      <c r="K187" s="8"/>
      <c r="L187" s="8"/>
      <c r="O187" s="8"/>
      <c r="Q187" s="8"/>
      <c r="R187" s="8"/>
      <c r="S187" s="8"/>
    </row>
    <row r="188" ht="15.75" customHeight="1">
      <c r="K188" s="8"/>
      <c r="L188" s="8"/>
      <c r="O188" s="8"/>
      <c r="Q188" s="8"/>
      <c r="R188" s="8"/>
      <c r="S188" s="8"/>
    </row>
    <row r="189" ht="15.75" customHeight="1">
      <c r="K189" s="8"/>
      <c r="L189" s="8"/>
      <c r="O189" s="8"/>
      <c r="Q189" s="8"/>
      <c r="R189" s="8"/>
      <c r="S189" s="8"/>
    </row>
    <row r="190" ht="15.75" customHeight="1">
      <c r="K190" s="8"/>
      <c r="L190" s="8"/>
      <c r="O190" s="8"/>
      <c r="Q190" s="8"/>
      <c r="R190" s="8"/>
      <c r="S190" s="8"/>
    </row>
    <row r="191" ht="15.75" customHeight="1">
      <c r="K191" s="8"/>
      <c r="L191" s="8"/>
      <c r="O191" s="8"/>
      <c r="Q191" s="8"/>
      <c r="R191" s="8"/>
      <c r="S191" s="8"/>
    </row>
    <row r="192" ht="15.75" customHeight="1">
      <c r="K192" s="8"/>
      <c r="L192" s="8"/>
      <c r="O192" s="8"/>
      <c r="Q192" s="8"/>
      <c r="R192" s="8"/>
      <c r="S192" s="8"/>
    </row>
    <row r="193" ht="15.75" customHeight="1">
      <c r="K193" s="8"/>
      <c r="L193" s="8"/>
      <c r="O193" s="8"/>
      <c r="Q193" s="8"/>
      <c r="R193" s="8"/>
      <c r="S193" s="8"/>
    </row>
    <row r="194" ht="15.75" customHeight="1">
      <c r="K194" s="8"/>
      <c r="L194" s="8"/>
      <c r="O194" s="8"/>
      <c r="Q194" s="8"/>
      <c r="R194" s="8"/>
      <c r="S194" s="8"/>
    </row>
    <row r="195" ht="15.75" customHeight="1">
      <c r="K195" s="8"/>
      <c r="L195" s="8"/>
      <c r="O195" s="8"/>
      <c r="Q195" s="8"/>
      <c r="R195" s="8"/>
      <c r="S195" s="8"/>
    </row>
    <row r="196" ht="15.75" customHeight="1">
      <c r="K196" s="8"/>
      <c r="L196" s="8"/>
      <c r="O196" s="8"/>
      <c r="Q196" s="8"/>
      <c r="R196" s="8"/>
      <c r="S196" s="8"/>
    </row>
    <row r="197" ht="15.75" customHeight="1">
      <c r="K197" s="8"/>
      <c r="L197" s="8"/>
      <c r="O197" s="8"/>
      <c r="Q197" s="8"/>
      <c r="R197" s="8"/>
      <c r="S197" s="8"/>
    </row>
    <row r="198" ht="15.75" customHeight="1">
      <c r="K198" s="8"/>
      <c r="L198" s="8"/>
      <c r="O198" s="8"/>
      <c r="Q198" s="8"/>
      <c r="R198" s="8"/>
      <c r="S198" s="8"/>
    </row>
    <row r="199" ht="15.75" customHeight="1">
      <c r="K199" s="8"/>
      <c r="L199" s="8"/>
      <c r="O199" s="8"/>
      <c r="Q199" s="8"/>
      <c r="R199" s="8"/>
      <c r="S199" s="8"/>
    </row>
    <row r="200" ht="15.75" customHeight="1">
      <c r="K200" s="8"/>
      <c r="L200" s="8"/>
      <c r="O200" s="8"/>
      <c r="Q200" s="8"/>
      <c r="R200" s="8"/>
      <c r="S200" s="8"/>
    </row>
    <row r="201" ht="15.75" customHeight="1">
      <c r="K201" s="8"/>
      <c r="L201" s="8"/>
      <c r="O201" s="8"/>
      <c r="Q201" s="8"/>
      <c r="R201" s="8"/>
      <c r="S201" s="8"/>
    </row>
    <row r="202" ht="15.75" customHeight="1">
      <c r="K202" s="8"/>
      <c r="L202" s="8"/>
      <c r="O202" s="8"/>
      <c r="Q202" s="8"/>
      <c r="R202" s="8"/>
      <c r="S202" s="8"/>
    </row>
    <row r="203" ht="15.75" customHeight="1">
      <c r="K203" s="8"/>
      <c r="L203" s="8"/>
      <c r="O203" s="8"/>
      <c r="Q203" s="8"/>
      <c r="R203" s="8"/>
      <c r="S203" s="8"/>
    </row>
    <row r="204" ht="15.75" customHeight="1">
      <c r="K204" s="8"/>
      <c r="L204" s="8"/>
      <c r="O204" s="8"/>
      <c r="Q204" s="8"/>
      <c r="R204" s="8"/>
      <c r="S204" s="8"/>
    </row>
    <row r="205" ht="15.75" customHeight="1">
      <c r="K205" s="8"/>
      <c r="L205" s="8"/>
      <c r="O205" s="8"/>
      <c r="Q205" s="8"/>
      <c r="R205" s="8"/>
      <c r="S205" s="8"/>
    </row>
    <row r="206" ht="15.75" customHeight="1">
      <c r="K206" s="8"/>
      <c r="L206" s="8"/>
      <c r="O206" s="8"/>
      <c r="Q206" s="8"/>
      <c r="R206" s="8"/>
      <c r="S206" s="8"/>
    </row>
    <row r="207" ht="15.75" customHeight="1">
      <c r="K207" s="8"/>
      <c r="L207" s="8"/>
      <c r="O207" s="8"/>
      <c r="Q207" s="8"/>
      <c r="R207" s="8"/>
      <c r="S207" s="8"/>
    </row>
    <row r="208" ht="15.75" customHeight="1">
      <c r="K208" s="8"/>
      <c r="L208" s="8"/>
      <c r="O208" s="8"/>
      <c r="Q208" s="8"/>
      <c r="R208" s="8"/>
      <c r="S208" s="8"/>
    </row>
    <row r="209" ht="15.75" customHeight="1">
      <c r="K209" s="8"/>
      <c r="L209" s="8"/>
      <c r="O209" s="8"/>
      <c r="Q209" s="8"/>
      <c r="R209" s="8"/>
      <c r="S209" s="8"/>
    </row>
    <row r="210" ht="15.75" customHeight="1">
      <c r="K210" s="8"/>
      <c r="L210" s="8"/>
      <c r="O210" s="8"/>
      <c r="Q210" s="8"/>
      <c r="R210" s="8"/>
      <c r="S210" s="8"/>
    </row>
    <row r="211" ht="15.75" customHeight="1">
      <c r="K211" s="8"/>
      <c r="L211" s="8"/>
      <c r="O211" s="8"/>
      <c r="Q211" s="8"/>
      <c r="R211" s="8"/>
      <c r="S211" s="8"/>
    </row>
    <row r="212" ht="15.75" customHeight="1">
      <c r="K212" s="8"/>
      <c r="L212" s="8"/>
      <c r="O212" s="8"/>
      <c r="Q212" s="8"/>
      <c r="R212" s="8"/>
      <c r="S212" s="8"/>
    </row>
    <row r="213" ht="15.75" customHeight="1">
      <c r="K213" s="8"/>
      <c r="L213" s="8"/>
      <c r="O213" s="8"/>
      <c r="Q213" s="8"/>
      <c r="R213" s="8"/>
      <c r="S213" s="8"/>
    </row>
    <row r="214" ht="15.75" customHeight="1">
      <c r="K214" s="8"/>
      <c r="L214" s="8"/>
      <c r="O214" s="8"/>
      <c r="Q214" s="8"/>
      <c r="R214" s="8"/>
      <c r="S214" s="8"/>
    </row>
    <row r="215" ht="15.75" customHeight="1">
      <c r="K215" s="8"/>
      <c r="L215" s="8"/>
      <c r="O215" s="8"/>
      <c r="Q215" s="8"/>
      <c r="R215" s="8"/>
      <c r="S215" s="8"/>
    </row>
    <row r="216" ht="15.75" customHeight="1">
      <c r="K216" s="8"/>
      <c r="L216" s="8"/>
      <c r="O216" s="8"/>
      <c r="Q216" s="8"/>
      <c r="R216" s="8"/>
      <c r="S216" s="8"/>
    </row>
    <row r="217" ht="15.75" customHeight="1">
      <c r="K217" s="8"/>
      <c r="L217" s="8"/>
      <c r="O217" s="8"/>
      <c r="Q217" s="8"/>
      <c r="R217" s="8"/>
      <c r="S217" s="8"/>
    </row>
    <row r="218" ht="15.75" customHeight="1">
      <c r="K218" s="8"/>
      <c r="L218" s="8"/>
      <c r="O218" s="8"/>
      <c r="Q218" s="8"/>
      <c r="R218" s="8"/>
      <c r="S218" s="8"/>
    </row>
    <row r="219" ht="15.75" customHeight="1">
      <c r="K219" s="8"/>
      <c r="L219" s="8"/>
      <c r="O219" s="8"/>
      <c r="Q219" s="8"/>
      <c r="R219" s="8"/>
      <c r="S219" s="8"/>
    </row>
    <row r="220" ht="15.75" customHeight="1">
      <c r="K220" s="8"/>
      <c r="L220" s="8"/>
      <c r="O220" s="8"/>
      <c r="Q220" s="8"/>
      <c r="R220" s="8"/>
      <c r="S220" s="8"/>
    </row>
    <row r="221" ht="15.75" customHeight="1">
      <c r="K221" s="8"/>
      <c r="L221" s="8"/>
      <c r="O221" s="8"/>
      <c r="Q221" s="8"/>
      <c r="R221" s="8"/>
      <c r="S221" s="8"/>
    </row>
    <row r="222" ht="15.75" customHeight="1">
      <c r="K222" s="8"/>
      <c r="L222" s="8"/>
      <c r="O222" s="8"/>
      <c r="Q222" s="8"/>
      <c r="R222" s="8"/>
      <c r="S222" s="8"/>
    </row>
    <row r="223" ht="15.75" customHeight="1">
      <c r="K223" s="8"/>
      <c r="L223" s="8"/>
      <c r="O223" s="8"/>
      <c r="Q223" s="8"/>
      <c r="R223" s="8"/>
      <c r="S223" s="8"/>
    </row>
    <row r="224" ht="15.75" customHeight="1">
      <c r="K224" s="8"/>
      <c r="L224" s="8"/>
      <c r="O224" s="8"/>
      <c r="Q224" s="8"/>
      <c r="R224" s="8"/>
      <c r="S224" s="8"/>
    </row>
    <row r="225" ht="15.75" customHeight="1">
      <c r="K225" s="8"/>
      <c r="L225" s="8"/>
      <c r="O225" s="8"/>
      <c r="Q225" s="8"/>
      <c r="R225" s="8"/>
      <c r="S225" s="8"/>
    </row>
    <row r="226" ht="15.75" customHeight="1">
      <c r="K226" s="8"/>
      <c r="L226" s="8"/>
      <c r="O226" s="8"/>
      <c r="Q226" s="8"/>
      <c r="R226" s="8"/>
      <c r="S226" s="8"/>
    </row>
    <row r="227" ht="15.75" customHeight="1">
      <c r="K227" s="8"/>
      <c r="L227" s="8"/>
      <c r="O227" s="8"/>
      <c r="Q227" s="8"/>
      <c r="R227" s="8"/>
      <c r="S227" s="8"/>
    </row>
    <row r="228" ht="15.75" customHeight="1">
      <c r="K228" s="8"/>
      <c r="L228" s="8"/>
      <c r="O228" s="8"/>
      <c r="Q228" s="8"/>
      <c r="R228" s="8"/>
      <c r="S228" s="8"/>
    </row>
    <row r="229" ht="15.75" customHeight="1">
      <c r="K229" s="8"/>
      <c r="L229" s="8"/>
      <c r="O229" s="8"/>
      <c r="Q229" s="8"/>
      <c r="R229" s="8"/>
      <c r="S229" s="8"/>
    </row>
    <row r="230" ht="15.75" customHeight="1">
      <c r="K230" s="8"/>
      <c r="L230" s="8"/>
      <c r="O230" s="8"/>
      <c r="Q230" s="8"/>
      <c r="R230" s="8"/>
      <c r="S230" s="8"/>
    </row>
    <row r="231" ht="15.75" customHeight="1">
      <c r="K231" s="8"/>
      <c r="L231" s="8"/>
      <c r="O231" s="8"/>
      <c r="Q231" s="8"/>
      <c r="R231" s="8"/>
      <c r="S231" s="8"/>
    </row>
    <row r="232" ht="15.75" customHeight="1">
      <c r="K232" s="8"/>
      <c r="L232" s="8"/>
      <c r="O232" s="8"/>
      <c r="Q232" s="8"/>
      <c r="R232" s="8"/>
      <c r="S232" s="8"/>
    </row>
    <row r="233" ht="15.75" customHeight="1">
      <c r="K233" s="8"/>
      <c r="L233" s="8"/>
      <c r="O233" s="8"/>
      <c r="Q233" s="8"/>
      <c r="R233" s="8"/>
      <c r="S233" s="8"/>
    </row>
    <row r="234" ht="15.75" customHeight="1">
      <c r="K234" s="8"/>
      <c r="L234" s="8"/>
      <c r="O234" s="8"/>
      <c r="Q234" s="8"/>
      <c r="R234" s="8"/>
      <c r="S234" s="8"/>
    </row>
    <row r="235" ht="15.75" customHeight="1">
      <c r="K235" s="8"/>
      <c r="L235" s="8"/>
      <c r="O235" s="8"/>
      <c r="Q235" s="8"/>
      <c r="R235" s="8"/>
      <c r="S235" s="8"/>
    </row>
    <row r="236" ht="15.75" customHeight="1">
      <c r="K236" s="8"/>
      <c r="L236" s="8"/>
      <c r="O236" s="8"/>
      <c r="Q236" s="8"/>
      <c r="R236" s="8"/>
      <c r="S236" s="8"/>
    </row>
    <row r="237" ht="15.75" customHeight="1">
      <c r="K237" s="8"/>
      <c r="L237" s="8"/>
      <c r="O237" s="8"/>
      <c r="Q237" s="8"/>
      <c r="R237" s="8"/>
      <c r="S237" s="8"/>
    </row>
    <row r="238" ht="15.75" customHeight="1">
      <c r="K238" s="8"/>
      <c r="L238" s="8"/>
      <c r="O238" s="8"/>
      <c r="Q238" s="8"/>
      <c r="R238" s="8"/>
      <c r="S238" s="8"/>
    </row>
    <row r="239" ht="15.75" customHeight="1">
      <c r="K239" s="8"/>
      <c r="L239" s="8"/>
      <c r="O239" s="8"/>
      <c r="Q239" s="8"/>
      <c r="R239" s="8"/>
      <c r="S239" s="8"/>
    </row>
    <row r="240" ht="15.75" customHeight="1">
      <c r="K240" s="8"/>
      <c r="L240" s="8"/>
      <c r="O240" s="8"/>
      <c r="Q240" s="8"/>
      <c r="R240" s="8"/>
      <c r="S240" s="8"/>
    </row>
    <row r="241" ht="15.75" customHeight="1">
      <c r="K241" s="8"/>
      <c r="L241" s="8"/>
      <c r="O241" s="8"/>
      <c r="Q241" s="8"/>
      <c r="R241" s="8"/>
      <c r="S241" s="8"/>
    </row>
    <row r="242" ht="15.75" customHeight="1">
      <c r="K242" s="8"/>
      <c r="L242" s="8"/>
      <c r="O242" s="8"/>
      <c r="Q242" s="8"/>
      <c r="R242" s="8"/>
      <c r="S242" s="8"/>
    </row>
    <row r="243" ht="15.75" customHeight="1">
      <c r="K243" s="8"/>
      <c r="L243" s="8"/>
      <c r="O243" s="8"/>
      <c r="Q243" s="8"/>
      <c r="R243" s="8"/>
      <c r="S243" s="8"/>
    </row>
    <row r="244" ht="15.75" customHeight="1">
      <c r="K244" s="8"/>
      <c r="L244" s="8"/>
      <c r="O244" s="8"/>
      <c r="Q244" s="8"/>
      <c r="R244" s="8"/>
      <c r="S244" s="8"/>
    </row>
    <row r="245" ht="15.75" customHeight="1">
      <c r="K245" s="8"/>
      <c r="L245" s="8"/>
      <c r="O245" s="8"/>
      <c r="Q245" s="8"/>
      <c r="R245" s="8"/>
      <c r="S245" s="8"/>
    </row>
    <row r="246" ht="15.75" customHeight="1">
      <c r="K246" s="8"/>
      <c r="L246" s="8"/>
      <c r="O246" s="8"/>
      <c r="Q246" s="8"/>
      <c r="R246" s="8"/>
      <c r="S246" s="8"/>
    </row>
    <row r="247" ht="15.75" customHeight="1">
      <c r="K247" s="8"/>
      <c r="L247" s="8"/>
      <c r="O247" s="8"/>
      <c r="Q247" s="8"/>
      <c r="R247" s="8"/>
      <c r="S247" s="8"/>
    </row>
    <row r="248" ht="15.75" customHeight="1">
      <c r="K248" s="8"/>
      <c r="L248" s="8"/>
      <c r="O248" s="8"/>
      <c r="Q248" s="8"/>
      <c r="R248" s="8"/>
      <c r="S248" s="8"/>
    </row>
    <row r="249" ht="15.75" customHeight="1">
      <c r="K249" s="8"/>
      <c r="L249" s="8"/>
      <c r="O249" s="8"/>
      <c r="Q249" s="8"/>
      <c r="R249" s="8"/>
      <c r="S249" s="8"/>
    </row>
    <row r="250" ht="15.75" customHeight="1">
      <c r="K250" s="8"/>
      <c r="L250" s="8"/>
      <c r="O250" s="8"/>
      <c r="Q250" s="8"/>
      <c r="R250" s="8"/>
      <c r="S250" s="8"/>
    </row>
    <row r="251" ht="15.75" customHeight="1">
      <c r="K251" s="8"/>
      <c r="L251" s="8"/>
      <c r="O251" s="8"/>
      <c r="Q251" s="8"/>
      <c r="R251" s="8"/>
      <c r="S251" s="8"/>
    </row>
    <row r="252" ht="15.75" customHeight="1">
      <c r="K252" s="8"/>
      <c r="L252" s="8"/>
      <c r="O252" s="8"/>
      <c r="Q252" s="8"/>
      <c r="R252" s="8"/>
      <c r="S252" s="8"/>
    </row>
    <row r="253" ht="15.75" customHeight="1">
      <c r="K253" s="8"/>
      <c r="L253" s="8"/>
      <c r="O253" s="8"/>
      <c r="Q253" s="8"/>
      <c r="R253" s="8"/>
      <c r="S253" s="8"/>
    </row>
    <row r="254" ht="15.75" customHeight="1">
      <c r="K254" s="8"/>
      <c r="L254" s="8"/>
      <c r="O254" s="8"/>
      <c r="Q254" s="8"/>
      <c r="R254" s="8"/>
      <c r="S254" s="8"/>
    </row>
    <row r="255" ht="15.75" customHeight="1">
      <c r="K255" s="8"/>
      <c r="L255" s="8"/>
      <c r="O255" s="8"/>
      <c r="Q255" s="8"/>
      <c r="R255" s="8"/>
      <c r="S255" s="8"/>
    </row>
    <row r="256" ht="15.75" customHeight="1">
      <c r="K256" s="8"/>
      <c r="L256" s="8"/>
      <c r="O256" s="8"/>
      <c r="Q256" s="8"/>
      <c r="R256" s="8"/>
      <c r="S256" s="8"/>
    </row>
    <row r="257" ht="15.75" customHeight="1">
      <c r="K257" s="8"/>
      <c r="L257" s="8"/>
      <c r="O257" s="8"/>
      <c r="Q257" s="8"/>
      <c r="R257" s="8"/>
      <c r="S257" s="8"/>
    </row>
    <row r="258" ht="15.75" customHeight="1">
      <c r="K258" s="8"/>
      <c r="L258" s="8"/>
      <c r="O258" s="8"/>
      <c r="Q258" s="8"/>
      <c r="R258" s="8"/>
      <c r="S258" s="8"/>
    </row>
    <row r="259" ht="15.75" customHeight="1">
      <c r="K259" s="8"/>
      <c r="L259" s="8"/>
      <c r="O259" s="8"/>
      <c r="Q259" s="8"/>
      <c r="R259" s="8"/>
      <c r="S259" s="8"/>
    </row>
    <row r="260" ht="15.75" customHeight="1">
      <c r="K260" s="8"/>
      <c r="L260" s="8"/>
      <c r="O260" s="8"/>
      <c r="Q260" s="8"/>
      <c r="R260" s="8"/>
      <c r="S260" s="8"/>
    </row>
    <row r="261" ht="15.75" customHeight="1">
      <c r="K261" s="8"/>
      <c r="L261" s="8"/>
      <c r="O261" s="8"/>
      <c r="Q261" s="8"/>
      <c r="R261" s="8"/>
      <c r="S261" s="8"/>
    </row>
    <row r="262" ht="15.75" customHeight="1">
      <c r="K262" s="8"/>
      <c r="L262" s="8"/>
      <c r="O262" s="8"/>
      <c r="Q262" s="8"/>
      <c r="R262" s="8"/>
      <c r="S262" s="8"/>
    </row>
    <row r="263" ht="15.75" customHeight="1">
      <c r="K263" s="8"/>
      <c r="L263" s="8"/>
      <c r="O263" s="8"/>
      <c r="Q263" s="8"/>
      <c r="R263" s="8"/>
      <c r="S263" s="8"/>
    </row>
    <row r="264" ht="15.75" customHeight="1">
      <c r="K264" s="8"/>
      <c r="L264" s="8"/>
      <c r="O264" s="8"/>
      <c r="Q264" s="8"/>
      <c r="R264" s="8"/>
      <c r="S264" s="8"/>
    </row>
    <row r="265" ht="15.75" customHeight="1">
      <c r="K265" s="8"/>
      <c r="L265" s="8"/>
      <c r="O265" s="8"/>
      <c r="Q265" s="8"/>
      <c r="R265" s="8"/>
      <c r="S265" s="8"/>
    </row>
    <row r="266" ht="15.75" customHeight="1">
      <c r="K266" s="8"/>
      <c r="L266" s="8"/>
      <c r="O266" s="8"/>
      <c r="Q266" s="8"/>
      <c r="R266" s="8"/>
      <c r="S266" s="8"/>
    </row>
    <row r="267" ht="15.75" customHeight="1">
      <c r="K267" s="8"/>
      <c r="L267" s="8"/>
      <c r="O267" s="8"/>
      <c r="Q267" s="8"/>
      <c r="R267" s="8"/>
      <c r="S267" s="8"/>
    </row>
    <row r="268" ht="15.75" customHeight="1">
      <c r="K268" s="8"/>
      <c r="L268" s="8"/>
      <c r="O268" s="8"/>
      <c r="Q268" s="8"/>
      <c r="R268" s="8"/>
      <c r="S268" s="8"/>
    </row>
    <row r="269" ht="15.75" customHeight="1">
      <c r="K269" s="8"/>
      <c r="L269" s="8"/>
      <c r="O269" s="8"/>
      <c r="Q269" s="8"/>
      <c r="R269" s="8"/>
      <c r="S269" s="8"/>
    </row>
    <row r="270" ht="15.75" customHeight="1">
      <c r="K270" s="8"/>
      <c r="L270" s="8"/>
      <c r="O270" s="8"/>
      <c r="Q270" s="8"/>
      <c r="R270" s="8"/>
      <c r="S270" s="8"/>
    </row>
    <row r="271" ht="15.75" customHeight="1">
      <c r="K271" s="8"/>
      <c r="L271" s="8"/>
      <c r="O271" s="8"/>
      <c r="Q271" s="8"/>
      <c r="R271" s="8"/>
      <c r="S271" s="8"/>
    </row>
    <row r="272" ht="15.75" customHeight="1">
      <c r="K272" s="8"/>
      <c r="L272" s="8"/>
      <c r="O272" s="8"/>
      <c r="Q272" s="8"/>
      <c r="R272" s="8"/>
      <c r="S272" s="8"/>
    </row>
    <row r="273" ht="15.75" customHeight="1">
      <c r="K273" s="8"/>
      <c r="L273" s="8"/>
      <c r="O273" s="8"/>
      <c r="Q273" s="8"/>
      <c r="R273" s="8"/>
      <c r="S273" s="8"/>
    </row>
    <row r="274" ht="15.75" customHeight="1">
      <c r="K274" s="8"/>
      <c r="L274" s="8"/>
      <c r="O274" s="8"/>
      <c r="Q274" s="8"/>
      <c r="R274" s="8"/>
      <c r="S274" s="8"/>
    </row>
    <row r="275" ht="15.75" customHeight="1">
      <c r="K275" s="8"/>
      <c r="L275" s="8"/>
      <c r="O275" s="8"/>
      <c r="Q275" s="8"/>
      <c r="R275" s="8"/>
      <c r="S275" s="8"/>
    </row>
    <row r="276" ht="15.75" customHeight="1">
      <c r="K276" s="8"/>
      <c r="L276" s="8"/>
      <c r="O276" s="8"/>
      <c r="Q276" s="8"/>
      <c r="R276" s="8"/>
      <c r="S276" s="8"/>
    </row>
    <row r="277" ht="15.75" customHeight="1">
      <c r="K277" s="8"/>
      <c r="L277" s="8"/>
      <c r="O277" s="8"/>
      <c r="Q277" s="8"/>
      <c r="R277" s="8"/>
      <c r="S277" s="8"/>
    </row>
    <row r="278" ht="15.75" customHeight="1">
      <c r="K278" s="8"/>
      <c r="L278" s="8"/>
      <c r="O278" s="8"/>
      <c r="Q278" s="8"/>
      <c r="R278" s="8"/>
      <c r="S278" s="8"/>
    </row>
    <row r="279" ht="15.75" customHeight="1">
      <c r="K279" s="8"/>
      <c r="L279" s="8"/>
      <c r="O279" s="8"/>
      <c r="Q279" s="8"/>
      <c r="R279" s="8"/>
      <c r="S279" s="8"/>
    </row>
    <row r="280" ht="15.75" customHeight="1">
      <c r="K280" s="8"/>
      <c r="L280" s="8"/>
      <c r="O280" s="8"/>
      <c r="Q280" s="8"/>
      <c r="R280" s="8"/>
      <c r="S280" s="8"/>
    </row>
    <row r="281" ht="15.75" customHeight="1">
      <c r="K281" s="8"/>
      <c r="L281" s="8"/>
      <c r="O281" s="8"/>
      <c r="Q281" s="8"/>
      <c r="R281" s="8"/>
      <c r="S281" s="8"/>
    </row>
    <row r="282" ht="15.75" customHeight="1">
      <c r="K282" s="8"/>
      <c r="L282" s="8"/>
      <c r="O282" s="8"/>
      <c r="Q282" s="8"/>
      <c r="R282" s="8"/>
      <c r="S282" s="8"/>
    </row>
    <row r="283" ht="15.75" customHeight="1">
      <c r="K283" s="8"/>
      <c r="L283" s="8"/>
      <c r="O283" s="8"/>
      <c r="Q283" s="8"/>
      <c r="R283" s="8"/>
      <c r="S283" s="8"/>
    </row>
    <row r="284" ht="15.75" customHeight="1">
      <c r="K284" s="8"/>
      <c r="L284" s="8"/>
      <c r="O284" s="8"/>
      <c r="Q284" s="8"/>
      <c r="R284" s="8"/>
      <c r="S284" s="8"/>
    </row>
    <row r="285" ht="15.75" customHeight="1">
      <c r="K285" s="8"/>
      <c r="L285" s="8"/>
      <c r="O285" s="8"/>
      <c r="Q285" s="8"/>
      <c r="R285" s="8"/>
      <c r="S285" s="8"/>
    </row>
    <row r="286" ht="15.75" customHeight="1">
      <c r="K286" s="8"/>
      <c r="L286" s="8"/>
      <c r="O286" s="8"/>
      <c r="Q286" s="8"/>
      <c r="R286" s="8"/>
      <c r="S286" s="8"/>
    </row>
    <row r="287" ht="15.75" customHeight="1">
      <c r="K287" s="8"/>
      <c r="L287" s="8"/>
      <c r="O287" s="8"/>
      <c r="Q287" s="8"/>
      <c r="R287" s="8"/>
      <c r="S287" s="8"/>
    </row>
    <row r="288" ht="15.75" customHeight="1">
      <c r="K288" s="8"/>
      <c r="L288" s="8"/>
      <c r="O288" s="8"/>
      <c r="Q288" s="8"/>
      <c r="R288" s="8"/>
      <c r="S288" s="8"/>
    </row>
    <row r="289" ht="15.75" customHeight="1">
      <c r="K289" s="8"/>
      <c r="L289" s="8"/>
      <c r="O289" s="8"/>
      <c r="Q289" s="8"/>
      <c r="R289" s="8"/>
      <c r="S289" s="8"/>
    </row>
    <row r="290" ht="15.75" customHeight="1">
      <c r="K290" s="8"/>
      <c r="L290" s="8"/>
      <c r="O290" s="8"/>
      <c r="Q290" s="8"/>
      <c r="R290" s="8"/>
      <c r="S290" s="8"/>
    </row>
    <row r="291" ht="15.75" customHeight="1">
      <c r="K291" s="8"/>
      <c r="L291" s="8"/>
      <c r="O291" s="8"/>
      <c r="Q291" s="8"/>
      <c r="R291" s="8"/>
      <c r="S291" s="8"/>
    </row>
    <row r="292" ht="15.75" customHeight="1">
      <c r="K292" s="8"/>
      <c r="L292" s="8"/>
      <c r="O292" s="8"/>
      <c r="Q292" s="8"/>
      <c r="R292" s="8"/>
      <c r="S292" s="8"/>
    </row>
    <row r="293" ht="15.75" customHeight="1">
      <c r="K293" s="8"/>
      <c r="L293" s="8"/>
      <c r="O293" s="8"/>
      <c r="Q293" s="8"/>
      <c r="R293" s="8"/>
      <c r="S293" s="8"/>
    </row>
    <row r="294" ht="15.75" customHeight="1">
      <c r="K294" s="8"/>
      <c r="L294" s="8"/>
      <c r="O294" s="8"/>
      <c r="Q294" s="8"/>
      <c r="R294" s="8"/>
      <c r="S294" s="8"/>
    </row>
    <row r="295" ht="15.75" customHeight="1">
      <c r="K295" s="8"/>
      <c r="L295" s="8"/>
      <c r="O295" s="8"/>
      <c r="Q295" s="8"/>
      <c r="R295" s="8"/>
      <c r="S295" s="8"/>
    </row>
    <row r="296" ht="15.75" customHeight="1">
      <c r="K296" s="8"/>
      <c r="L296" s="8"/>
      <c r="O296" s="8"/>
      <c r="Q296" s="8"/>
      <c r="R296" s="8"/>
      <c r="S296" s="8"/>
    </row>
    <row r="297" ht="15.75" customHeight="1">
      <c r="K297" s="8"/>
      <c r="L297" s="8"/>
      <c r="O297" s="8"/>
      <c r="Q297" s="8"/>
      <c r="R297" s="8"/>
      <c r="S297" s="8"/>
    </row>
    <row r="298" ht="15.75" customHeight="1">
      <c r="K298" s="8"/>
      <c r="L298" s="8"/>
      <c r="O298" s="8"/>
      <c r="Q298" s="8"/>
      <c r="R298" s="8"/>
      <c r="S298" s="8"/>
    </row>
    <row r="299" ht="15.75" customHeight="1">
      <c r="K299" s="8"/>
      <c r="L299" s="8"/>
      <c r="O299" s="8"/>
      <c r="Q299" s="8"/>
      <c r="R299" s="8"/>
      <c r="S299" s="8"/>
    </row>
    <row r="300" ht="15.75" customHeight="1">
      <c r="K300" s="8"/>
      <c r="L300" s="8"/>
      <c r="O300" s="8"/>
      <c r="Q300" s="8"/>
      <c r="R300" s="8"/>
      <c r="S300" s="8"/>
    </row>
    <row r="301" ht="15.75" customHeight="1">
      <c r="K301" s="8"/>
      <c r="L301" s="8"/>
      <c r="O301" s="8"/>
      <c r="Q301" s="8"/>
      <c r="R301" s="8"/>
      <c r="S301" s="8"/>
    </row>
    <row r="302" ht="15.75" customHeight="1">
      <c r="K302" s="8"/>
      <c r="L302" s="8"/>
      <c r="O302" s="8"/>
      <c r="Q302" s="8"/>
      <c r="R302" s="8"/>
      <c r="S302" s="8"/>
    </row>
    <row r="303" ht="15.75" customHeight="1">
      <c r="K303" s="8"/>
      <c r="L303" s="8"/>
      <c r="O303" s="8"/>
      <c r="Q303" s="8"/>
      <c r="R303" s="8"/>
      <c r="S303" s="8"/>
    </row>
    <row r="304" ht="15.75" customHeight="1">
      <c r="K304" s="8"/>
      <c r="L304" s="8"/>
      <c r="O304" s="8"/>
      <c r="Q304" s="8"/>
      <c r="R304" s="8"/>
      <c r="S304" s="8"/>
    </row>
    <row r="305" ht="15.75" customHeight="1">
      <c r="K305" s="8"/>
      <c r="L305" s="8"/>
      <c r="O305" s="8"/>
      <c r="Q305" s="8"/>
      <c r="R305" s="8"/>
      <c r="S305" s="8"/>
    </row>
    <row r="306" ht="15.75" customHeight="1">
      <c r="K306" s="8"/>
      <c r="L306" s="8"/>
      <c r="O306" s="8"/>
      <c r="Q306" s="8"/>
      <c r="R306" s="8"/>
      <c r="S306" s="8"/>
    </row>
    <row r="307" ht="15.75" customHeight="1">
      <c r="K307" s="8"/>
      <c r="L307" s="8"/>
      <c r="O307" s="8"/>
      <c r="Q307" s="8"/>
      <c r="R307" s="8"/>
      <c r="S307" s="8"/>
    </row>
    <row r="308" ht="15.75" customHeight="1">
      <c r="K308" s="8"/>
      <c r="L308" s="8"/>
      <c r="O308" s="8"/>
      <c r="Q308" s="8"/>
      <c r="R308" s="8"/>
      <c r="S308" s="8"/>
    </row>
    <row r="309" ht="15.75" customHeight="1">
      <c r="K309" s="8"/>
      <c r="L309" s="8"/>
      <c r="O309" s="8"/>
      <c r="Q309" s="8"/>
      <c r="R309" s="8"/>
      <c r="S309" s="8"/>
    </row>
    <row r="310" ht="15.75" customHeight="1">
      <c r="K310" s="8"/>
      <c r="L310" s="8"/>
      <c r="O310" s="8"/>
      <c r="Q310" s="8"/>
      <c r="R310" s="8"/>
      <c r="S310" s="8"/>
    </row>
    <row r="311" ht="15.75" customHeight="1">
      <c r="K311" s="8"/>
      <c r="L311" s="8"/>
      <c r="O311" s="8"/>
      <c r="Q311" s="8"/>
      <c r="R311" s="8"/>
      <c r="S311" s="8"/>
    </row>
    <row r="312" ht="15.75" customHeight="1">
      <c r="K312" s="8"/>
      <c r="L312" s="8"/>
      <c r="O312" s="8"/>
      <c r="Q312" s="8"/>
      <c r="R312" s="8"/>
      <c r="S312" s="8"/>
    </row>
    <row r="313" ht="15.75" customHeight="1">
      <c r="K313" s="8"/>
      <c r="L313" s="8"/>
      <c r="O313" s="8"/>
      <c r="Q313" s="8"/>
      <c r="R313" s="8"/>
      <c r="S313" s="8"/>
    </row>
    <row r="314" ht="15.75" customHeight="1">
      <c r="K314" s="8"/>
      <c r="L314" s="8"/>
      <c r="O314" s="8"/>
      <c r="Q314" s="8"/>
      <c r="R314" s="8"/>
      <c r="S314" s="8"/>
    </row>
    <row r="315" ht="15.75" customHeight="1">
      <c r="K315" s="8"/>
      <c r="L315" s="8"/>
      <c r="O315" s="8"/>
      <c r="Q315" s="8"/>
      <c r="R315" s="8"/>
      <c r="S315" s="8"/>
    </row>
    <row r="316" ht="15.75" customHeight="1">
      <c r="K316" s="8"/>
      <c r="L316" s="8"/>
      <c r="O316" s="8"/>
      <c r="Q316" s="8"/>
      <c r="R316" s="8"/>
      <c r="S316" s="8"/>
    </row>
    <row r="317" ht="15.75" customHeight="1">
      <c r="K317" s="8"/>
      <c r="L317" s="8"/>
      <c r="O317" s="8"/>
      <c r="Q317" s="8"/>
      <c r="R317" s="8"/>
      <c r="S317" s="8"/>
    </row>
    <row r="318" ht="15.75" customHeight="1">
      <c r="K318" s="8"/>
      <c r="L318" s="8"/>
      <c r="O318" s="8"/>
      <c r="Q318" s="8"/>
      <c r="R318" s="8"/>
      <c r="S318" s="8"/>
    </row>
    <row r="319" ht="15.75" customHeight="1">
      <c r="K319" s="8"/>
      <c r="L319" s="8"/>
      <c r="O319" s="8"/>
      <c r="Q319" s="8"/>
      <c r="R319" s="8"/>
      <c r="S319" s="8"/>
    </row>
    <row r="320" ht="15.75" customHeight="1">
      <c r="K320" s="8"/>
      <c r="L320" s="8"/>
      <c r="O320" s="8"/>
      <c r="Q320" s="8"/>
      <c r="R320" s="8"/>
      <c r="S320" s="8"/>
    </row>
    <row r="321" ht="15.75" customHeight="1">
      <c r="K321" s="8"/>
      <c r="L321" s="8"/>
      <c r="O321" s="8"/>
      <c r="Q321" s="8"/>
      <c r="R321" s="8"/>
      <c r="S321" s="8"/>
    </row>
    <row r="322" ht="15.75" customHeight="1">
      <c r="K322" s="8"/>
      <c r="L322" s="8"/>
      <c r="O322" s="8"/>
      <c r="Q322" s="8"/>
      <c r="R322" s="8"/>
      <c r="S322" s="8"/>
    </row>
    <row r="323" ht="15.75" customHeight="1">
      <c r="K323" s="8"/>
      <c r="L323" s="8"/>
      <c r="O323" s="8"/>
      <c r="Q323" s="8"/>
      <c r="R323" s="8"/>
      <c r="S323" s="8"/>
    </row>
    <row r="324" ht="15.75" customHeight="1">
      <c r="K324" s="8"/>
      <c r="L324" s="8"/>
      <c r="O324" s="8"/>
      <c r="Q324" s="8"/>
      <c r="R324" s="8"/>
      <c r="S324" s="8"/>
    </row>
    <row r="325" ht="15.75" customHeight="1">
      <c r="K325" s="8"/>
      <c r="L325" s="8"/>
      <c r="O325" s="8"/>
      <c r="Q325" s="8"/>
      <c r="R325" s="8"/>
      <c r="S325" s="8"/>
    </row>
    <row r="326" ht="15.75" customHeight="1">
      <c r="K326" s="8"/>
      <c r="L326" s="8"/>
      <c r="O326" s="8"/>
      <c r="Q326" s="8"/>
      <c r="R326" s="8"/>
      <c r="S326" s="8"/>
    </row>
    <row r="327" ht="15.75" customHeight="1">
      <c r="K327" s="8"/>
      <c r="L327" s="8"/>
      <c r="O327" s="8"/>
      <c r="Q327" s="8"/>
      <c r="R327" s="8"/>
      <c r="S327" s="8"/>
    </row>
    <row r="328" ht="15.75" customHeight="1">
      <c r="K328" s="8"/>
      <c r="L328" s="8"/>
      <c r="O328" s="8"/>
      <c r="Q328" s="8"/>
      <c r="R328" s="8"/>
      <c r="S328" s="8"/>
    </row>
    <row r="329" ht="15.75" customHeight="1">
      <c r="K329" s="8"/>
      <c r="L329" s="8"/>
      <c r="O329" s="8"/>
      <c r="Q329" s="8"/>
      <c r="R329" s="8"/>
      <c r="S329" s="8"/>
    </row>
    <row r="330" ht="15.75" customHeight="1">
      <c r="K330" s="8"/>
      <c r="L330" s="8"/>
      <c r="O330" s="8"/>
      <c r="Q330" s="8"/>
      <c r="R330" s="8"/>
      <c r="S330" s="8"/>
    </row>
    <row r="331" ht="15.75" customHeight="1">
      <c r="K331" s="8"/>
      <c r="L331" s="8"/>
      <c r="O331" s="8"/>
      <c r="Q331" s="8"/>
      <c r="R331" s="8"/>
      <c r="S331" s="8"/>
    </row>
    <row r="332" ht="15.75" customHeight="1">
      <c r="K332" s="8"/>
      <c r="L332" s="8"/>
      <c r="O332" s="8"/>
      <c r="Q332" s="8"/>
      <c r="R332" s="8"/>
      <c r="S332" s="8"/>
    </row>
    <row r="333" ht="15.75" customHeight="1">
      <c r="K333" s="8"/>
      <c r="L333" s="8"/>
      <c r="O333" s="8"/>
      <c r="Q333" s="8"/>
      <c r="R333" s="8"/>
      <c r="S333" s="8"/>
    </row>
    <row r="334" ht="15.75" customHeight="1">
      <c r="K334" s="8"/>
      <c r="L334" s="8"/>
      <c r="O334" s="8"/>
      <c r="Q334" s="8"/>
      <c r="R334" s="8"/>
      <c r="S334" s="8"/>
    </row>
    <row r="335" ht="15.75" customHeight="1">
      <c r="K335" s="8"/>
      <c r="L335" s="8"/>
      <c r="O335" s="8"/>
      <c r="Q335" s="8"/>
      <c r="R335" s="8"/>
      <c r="S335" s="8"/>
    </row>
    <row r="336" ht="15.75" customHeight="1">
      <c r="K336" s="8"/>
      <c r="L336" s="8"/>
      <c r="O336" s="8"/>
      <c r="Q336" s="8"/>
      <c r="R336" s="8"/>
      <c r="S336" s="8"/>
    </row>
    <row r="337" ht="15.75" customHeight="1">
      <c r="K337" s="8"/>
      <c r="L337" s="8"/>
      <c r="O337" s="8"/>
      <c r="Q337" s="8"/>
      <c r="R337" s="8"/>
      <c r="S337" s="8"/>
    </row>
    <row r="338" ht="15.75" customHeight="1">
      <c r="K338" s="8"/>
      <c r="L338" s="8"/>
      <c r="O338" s="8"/>
      <c r="Q338" s="8"/>
      <c r="R338" s="8"/>
      <c r="S338" s="8"/>
    </row>
    <row r="339" ht="15.75" customHeight="1">
      <c r="K339" s="8"/>
      <c r="L339" s="8"/>
      <c r="O339" s="8"/>
      <c r="Q339" s="8"/>
      <c r="R339" s="8"/>
      <c r="S339" s="8"/>
    </row>
    <row r="340" ht="15.75" customHeight="1">
      <c r="K340" s="8"/>
      <c r="L340" s="8"/>
      <c r="O340" s="8"/>
      <c r="Q340" s="8"/>
      <c r="R340" s="8"/>
      <c r="S340" s="8"/>
    </row>
    <row r="341" ht="15.75" customHeight="1">
      <c r="K341" s="8"/>
      <c r="L341" s="8"/>
      <c r="O341" s="8"/>
      <c r="Q341" s="8"/>
      <c r="R341" s="8"/>
      <c r="S341" s="8"/>
    </row>
    <row r="342" ht="15.75" customHeight="1">
      <c r="K342" s="8"/>
      <c r="L342" s="8"/>
      <c r="O342" s="8"/>
      <c r="Q342" s="8"/>
      <c r="R342" s="8"/>
      <c r="S342" s="8"/>
    </row>
    <row r="343" ht="15.75" customHeight="1">
      <c r="K343" s="8"/>
      <c r="L343" s="8"/>
      <c r="O343" s="8"/>
      <c r="Q343" s="8"/>
      <c r="R343" s="8"/>
      <c r="S343" s="8"/>
    </row>
    <row r="344" ht="15.75" customHeight="1">
      <c r="K344" s="8"/>
      <c r="L344" s="8"/>
      <c r="O344" s="8"/>
      <c r="Q344" s="8"/>
      <c r="R344" s="8"/>
      <c r="S344" s="8"/>
    </row>
    <row r="345" ht="15.75" customHeight="1">
      <c r="K345" s="8"/>
      <c r="L345" s="8"/>
      <c r="O345" s="8"/>
      <c r="Q345" s="8"/>
      <c r="R345" s="8"/>
      <c r="S345" s="8"/>
    </row>
    <row r="346" ht="15.75" customHeight="1">
      <c r="K346" s="8"/>
      <c r="L346" s="8"/>
      <c r="O346" s="8"/>
      <c r="Q346" s="8"/>
      <c r="R346" s="8"/>
      <c r="S346" s="8"/>
    </row>
    <row r="347" ht="15.75" customHeight="1">
      <c r="K347" s="8"/>
      <c r="L347" s="8"/>
      <c r="O347" s="8"/>
      <c r="Q347" s="8"/>
      <c r="R347" s="8"/>
      <c r="S347" s="8"/>
    </row>
    <row r="348" ht="15.75" customHeight="1">
      <c r="K348" s="8"/>
      <c r="L348" s="8"/>
      <c r="O348" s="8"/>
      <c r="Q348" s="8"/>
      <c r="R348" s="8"/>
      <c r="S348" s="8"/>
    </row>
    <row r="349" ht="15.75" customHeight="1">
      <c r="K349" s="8"/>
      <c r="L349" s="8"/>
      <c r="O349" s="8"/>
      <c r="Q349" s="8"/>
      <c r="R349" s="8"/>
      <c r="S349" s="8"/>
    </row>
    <row r="350" ht="15.75" customHeight="1">
      <c r="K350" s="8"/>
      <c r="L350" s="8"/>
      <c r="O350" s="8"/>
      <c r="Q350" s="8"/>
      <c r="R350" s="8"/>
      <c r="S350" s="8"/>
    </row>
    <row r="351" ht="15.75" customHeight="1">
      <c r="K351" s="8"/>
      <c r="L351" s="8"/>
      <c r="O351" s="8"/>
      <c r="Q351" s="8"/>
      <c r="R351" s="8"/>
      <c r="S351" s="8"/>
    </row>
    <row r="352" ht="15.75" customHeight="1">
      <c r="K352" s="8"/>
      <c r="L352" s="8"/>
      <c r="O352" s="8"/>
      <c r="Q352" s="8"/>
      <c r="R352" s="8"/>
      <c r="S352" s="8"/>
    </row>
    <row r="353" ht="15.75" customHeight="1">
      <c r="K353" s="8"/>
      <c r="L353" s="8"/>
      <c r="O353" s="8"/>
      <c r="Q353" s="8"/>
      <c r="R353" s="8"/>
      <c r="S353" s="8"/>
    </row>
    <row r="354" ht="15.75" customHeight="1">
      <c r="K354" s="8"/>
      <c r="L354" s="8"/>
      <c r="O354" s="8"/>
      <c r="Q354" s="8"/>
      <c r="R354" s="8"/>
      <c r="S354" s="8"/>
    </row>
    <row r="355" ht="15.75" customHeight="1">
      <c r="K355" s="8"/>
      <c r="L355" s="8"/>
      <c r="O355" s="8"/>
      <c r="Q355" s="8"/>
      <c r="R355" s="8"/>
      <c r="S355" s="8"/>
    </row>
    <row r="356" ht="15.75" customHeight="1">
      <c r="K356" s="8"/>
      <c r="L356" s="8"/>
      <c r="O356" s="8"/>
      <c r="Q356" s="8"/>
      <c r="R356" s="8"/>
      <c r="S356" s="8"/>
    </row>
    <row r="357" ht="15.75" customHeight="1">
      <c r="K357" s="8"/>
      <c r="L357" s="8"/>
      <c r="O357" s="8"/>
      <c r="Q357" s="8"/>
      <c r="R357" s="8"/>
      <c r="S357" s="8"/>
    </row>
    <row r="358" ht="15.75" customHeight="1">
      <c r="K358" s="8"/>
      <c r="L358" s="8"/>
      <c r="O358" s="8"/>
      <c r="Q358" s="8"/>
      <c r="R358" s="8"/>
      <c r="S358" s="8"/>
    </row>
    <row r="359" ht="15.75" customHeight="1">
      <c r="K359" s="8"/>
      <c r="L359" s="8"/>
      <c r="O359" s="8"/>
      <c r="Q359" s="8"/>
      <c r="R359" s="8"/>
      <c r="S359" s="8"/>
    </row>
    <row r="360" ht="15.75" customHeight="1">
      <c r="K360" s="8"/>
      <c r="L360" s="8"/>
      <c r="O360" s="8"/>
      <c r="Q360" s="8"/>
      <c r="R360" s="8"/>
      <c r="S360" s="8"/>
    </row>
    <row r="361" ht="15.75" customHeight="1">
      <c r="K361" s="8"/>
      <c r="L361" s="8"/>
      <c r="O361" s="8"/>
      <c r="Q361" s="8"/>
      <c r="R361" s="8"/>
      <c r="S361" s="8"/>
    </row>
    <row r="362" ht="15.75" customHeight="1">
      <c r="K362" s="8"/>
      <c r="L362" s="8"/>
      <c r="O362" s="8"/>
      <c r="Q362" s="8"/>
      <c r="R362" s="8"/>
      <c r="S362" s="8"/>
    </row>
    <row r="363" ht="15.75" customHeight="1">
      <c r="K363" s="8"/>
      <c r="L363" s="8"/>
      <c r="O363" s="8"/>
      <c r="Q363" s="8"/>
      <c r="R363" s="8"/>
      <c r="S363" s="8"/>
    </row>
    <row r="364" ht="15.75" customHeight="1">
      <c r="K364" s="8"/>
      <c r="L364" s="8"/>
      <c r="O364" s="8"/>
      <c r="Q364" s="8"/>
      <c r="R364" s="8"/>
      <c r="S364" s="8"/>
    </row>
    <row r="365" ht="15.75" customHeight="1">
      <c r="K365" s="8"/>
      <c r="L365" s="8"/>
      <c r="O365" s="8"/>
      <c r="Q365" s="8"/>
      <c r="R365" s="8"/>
      <c r="S365" s="8"/>
    </row>
    <row r="366" ht="15.75" customHeight="1">
      <c r="K366" s="8"/>
      <c r="L366" s="8"/>
      <c r="O366" s="8"/>
      <c r="Q366" s="8"/>
      <c r="R366" s="8"/>
      <c r="S366" s="8"/>
    </row>
    <row r="367" ht="15.75" customHeight="1">
      <c r="K367" s="8"/>
      <c r="L367" s="8"/>
      <c r="O367" s="8"/>
      <c r="Q367" s="8"/>
      <c r="R367" s="8"/>
      <c r="S367" s="8"/>
    </row>
    <row r="368" ht="15.75" customHeight="1">
      <c r="K368" s="8"/>
      <c r="L368" s="8"/>
      <c r="O368" s="8"/>
      <c r="Q368" s="8"/>
      <c r="R368" s="8"/>
      <c r="S368" s="8"/>
    </row>
    <row r="369" ht="15.75" customHeight="1">
      <c r="K369" s="8"/>
      <c r="L369" s="8"/>
      <c r="O369" s="8"/>
      <c r="Q369" s="8"/>
      <c r="R369" s="8"/>
      <c r="S369" s="8"/>
    </row>
    <row r="370" ht="15.75" customHeight="1">
      <c r="K370" s="8"/>
      <c r="L370" s="8"/>
      <c r="O370" s="8"/>
      <c r="Q370" s="8"/>
      <c r="R370" s="8"/>
      <c r="S370" s="8"/>
    </row>
    <row r="371" ht="15.75" customHeight="1">
      <c r="K371" s="8"/>
      <c r="L371" s="8"/>
      <c r="O371" s="8"/>
      <c r="Q371" s="8"/>
      <c r="R371" s="8"/>
      <c r="S371" s="8"/>
    </row>
    <row r="372" ht="15.75" customHeight="1">
      <c r="K372" s="8"/>
      <c r="L372" s="8"/>
      <c r="O372" s="8"/>
      <c r="Q372" s="8"/>
      <c r="R372" s="8"/>
      <c r="S372" s="8"/>
    </row>
    <row r="373" ht="15.75" customHeight="1">
      <c r="K373" s="8"/>
      <c r="L373" s="8"/>
      <c r="O373" s="8"/>
      <c r="Q373" s="8"/>
      <c r="R373" s="8"/>
      <c r="S373" s="8"/>
    </row>
    <row r="374" ht="15.75" customHeight="1">
      <c r="K374" s="8"/>
      <c r="L374" s="8"/>
      <c r="O374" s="8"/>
      <c r="Q374" s="8"/>
      <c r="R374" s="8"/>
      <c r="S374" s="8"/>
    </row>
    <row r="375" ht="15.75" customHeight="1">
      <c r="K375" s="8"/>
      <c r="L375" s="8"/>
      <c r="O375" s="8"/>
      <c r="Q375" s="8"/>
      <c r="R375" s="8"/>
      <c r="S375" s="8"/>
    </row>
    <row r="376" ht="15.75" customHeight="1">
      <c r="K376" s="8"/>
      <c r="L376" s="8"/>
      <c r="O376" s="8"/>
      <c r="Q376" s="8"/>
      <c r="R376" s="8"/>
      <c r="S376" s="8"/>
    </row>
    <row r="377" ht="15.75" customHeight="1">
      <c r="K377" s="8"/>
      <c r="L377" s="8"/>
      <c r="O377" s="8"/>
      <c r="Q377" s="8"/>
      <c r="R377" s="8"/>
      <c r="S377" s="8"/>
    </row>
    <row r="378" ht="15.75" customHeight="1">
      <c r="K378" s="8"/>
      <c r="L378" s="8"/>
      <c r="O378" s="8"/>
      <c r="Q378" s="8"/>
      <c r="R378" s="8"/>
      <c r="S378" s="8"/>
    </row>
    <row r="379" ht="15.75" customHeight="1">
      <c r="K379" s="8"/>
      <c r="L379" s="8"/>
      <c r="O379" s="8"/>
      <c r="Q379" s="8"/>
      <c r="R379" s="8"/>
      <c r="S379" s="8"/>
    </row>
    <row r="380" ht="15.75" customHeight="1">
      <c r="K380" s="8"/>
      <c r="L380" s="8"/>
      <c r="O380" s="8"/>
      <c r="Q380" s="8"/>
      <c r="R380" s="8"/>
      <c r="S380" s="8"/>
    </row>
    <row r="381" ht="15.75" customHeight="1">
      <c r="K381" s="8"/>
      <c r="L381" s="8"/>
      <c r="O381" s="8"/>
      <c r="Q381" s="8"/>
      <c r="R381" s="8"/>
      <c r="S381" s="8"/>
    </row>
    <row r="382" ht="15.75" customHeight="1">
      <c r="K382" s="8"/>
      <c r="L382" s="8"/>
      <c r="O382" s="8"/>
      <c r="Q382" s="8"/>
      <c r="R382" s="8"/>
      <c r="S382" s="8"/>
    </row>
    <row r="383" ht="15.75" customHeight="1">
      <c r="K383" s="8"/>
      <c r="L383" s="8"/>
      <c r="O383" s="8"/>
      <c r="Q383" s="8"/>
      <c r="R383" s="8"/>
      <c r="S383" s="8"/>
    </row>
    <row r="384" ht="15.75" customHeight="1">
      <c r="K384" s="8"/>
      <c r="L384" s="8"/>
      <c r="O384" s="8"/>
      <c r="Q384" s="8"/>
      <c r="R384" s="8"/>
      <c r="S384" s="8"/>
    </row>
    <row r="385" ht="15.75" customHeight="1">
      <c r="K385" s="8"/>
      <c r="L385" s="8"/>
      <c r="O385" s="8"/>
      <c r="Q385" s="8"/>
      <c r="R385" s="8"/>
      <c r="S385" s="8"/>
    </row>
    <row r="386" ht="15.75" customHeight="1">
      <c r="K386" s="8"/>
      <c r="L386" s="8"/>
      <c r="O386" s="8"/>
      <c r="Q386" s="8"/>
      <c r="R386" s="8"/>
      <c r="S386" s="8"/>
    </row>
    <row r="387" ht="15.75" customHeight="1">
      <c r="K387" s="8"/>
      <c r="L387" s="8"/>
      <c r="O387" s="8"/>
      <c r="Q387" s="8"/>
      <c r="R387" s="8"/>
      <c r="S387" s="8"/>
    </row>
    <row r="388" ht="15.75" customHeight="1">
      <c r="K388" s="8"/>
      <c r="L388" s="8"/>
      <c r="O388" s="8"/>
      <c r="Q388" s="8"/>
      <c r="R388" s="8"/>
      <c r="S388" s="8"/>
    </row>
    <row r="389" ht="15.75" customHeight="1">
      <c r="K389" s="8"/>
      <c r="L389" s="8"/>
      <c r="O389" s="8"/>
      <c r="Q389" s="8"/>
      <c r="R389" s="8"/>
      <c r="S389" s="8"/>
    </row>
    <row r="390" ht="15.75" customHeight="1">
      <c r="K390" s="8"/>
      <c r="L390" s="8"/>
      <c r="O390" s="8"/>
      <c r="Q390" s="8"/>
      <c r="R390" s="8"/>
      <c r="S390" s="8"/>
    </row>
    <row r="391" ht="15.75" customHeight="1">
      <c r="K391" s="8"/>
      <c r="L391" s="8"/>
      <c r="O391" s="8"/>
      <c r="Q391" s="8"/>
      <c r="R391" s="8"/>
      <c r="S391" s="8"/>
    </row>
    <row r="392" ht="15.75" customHeight="1">
      <c r="K392" s="8"/>
      <c r="L392" s="8"/>
      <c r="O392" s="8"/>
      <c r="Q392" s="8"/>
      <c r="R392" s="8"/>
      <c r="S392" s="8"/>
    </row>
    <row r="393" ht="15.75" customHeight="1">
      <c r="K393" s="8"/>
      <c r="L393" s="8"/>
      <c r="O393" s="8"/>
      <c r="Q393" s="8"/>
      <c r="R393" s="8"/>
      <c r="S393" s="8"/>
    </row>
    <row r="394" ht="15.75" customHeight="1">
      <c r="K394" s="8"/>
      <c r="L394" s="8"/>
      <c r="O394" s="8"/>
      <c r="Q394" s="8"/>
      <c r="R394" s="8"/>
      <c r="S394" s="8"/>
    </row>
    <row r="395" ht="15.75" customHeight="1">
      <c r="K395" s="8"/>
      <c r="L395" s="8"/>
      <c r="O395" s="8"/>
      <c r="Q395" s="8"/>
      <c r="R395" s="8"/>
      <c r="S395" s="8"/>
    </row>
    <row r="396" ht="15.75" customHeight="1">
      <c r="K396" s="8"/>
      <c r="L396" s="8"/>
      <c r="O396" s="8"/>
      <c r="Q396" s="8"/>
      <c r="R396" s="8"/>
      <c r="S396" s="8"/>
    </row>
    <row r="397" ht="15.75" customHeight="1">
      <c r="K397" s="8"/>
      <c r="L397" s="8"/>
      <c r="O397" s="8"/>
      <c r="Q397" s="8"/>
      <c r="R397" s="8"/>
      <c r="S397" s="8"/>
    </row>
    <row r="398" ht="15.75" customHeight="1">
      <c r="K398" s="8"/>
      <c r="L398" s="8"/>
      <c r="O398" s="8"/>
      <c r="Q398" s="8"/>
      <c r="R398" s="8"/>
      <c r="S398" s="8"/>
    </row>
    <row r="399" ht="15.75" customHeight="1">
      <c r="K399" s="8"/>
      <c r="L399" s="8"/>
      <c r="O399" s="8"/>
      <c r="Q399" s="8"/>
      <c r="R399" s="8"/>
      <c r="S399" s="8"/>
    </row>
    <row r="400" ht="15.75" customHeight="1">
      <c r="K400" s="8"/>
      <c r="L400" s="8"/>
      <c r="O400" s="8"/>
      <c r="Q400" s="8"/>
      <c r="R400" s="8"/>
      <c r="S400" s="8"/>
    </row>
    <row r="401" ht="15.75" customHeight="1">
      <c r="K401" s="8"/>
      <c r="L401" s="8"/>
      <c r="O401" s="8"/>
      <c r="Q401" s="8"/>
      <c r="R401" s="8"/>
      <c r="S401" s="8"/>
    </row>
    <row r="402" ht="15.75" customHeight="1">
      <c r="K402" s="8"/>
      <c r="L402" s="8"/>
      <c r="O402" s="8"/>
      <c r="Q402" s="8"/>
      <c r="R402" s="8"/>
      <c r="S402" s="8"/>
    </row>
    <row r="403" ht="15.75" customHeight="1">
      <c r="K403" s="8"/>
      <c r="L403" s="8"/>
      <c r="O403" s="8"/>
      <c r="Q403" s="8"/>
      <c r="R403" s="8"/>
      <c r="S403" s="8"/>
    </row>
    <row r="404" ht="15.75" customHeight="1">
      <c r="K404" s="8"/>
      <c r="L404" s="8"/>
      <c r="O404" s="8"/>
      <c r="Q404" s="8"/>
      <c r="R404" s="8"/>
      <c r="S404" s="8"/>
    </row>
    <row r="405" ht="15.75" customHeight="1">
      <c r="K405" s="8"/>
      <c r="L405" s="8"/>
      <c r="O405" s="8"/>
      <c r="Q405" s="8"/>
      <c r="R405" s="8"/>
      <c r="S405" s="8"/>
    </row>
    <row r="406" ht="15.75" customHeight="1">
      <c r="K406" s="8"/>
      <c r="L406" s="8"/>
      <c r="O406" s="8"/>
      <c r="Q406" s="8"/>
      <c r="R406" s="8"/>
      <c r="S406" s="8"/>
    </row>
    <row r="407" ht="15.75" customHeight="1">
      <c r="K407" s="8"/>
      <c r="L407" s="8"/>
      <c r="O407" s="8"/>
      <c r="Q407" s="8"/>
      <c r="R407" s="8"/>
      <c r="S407" s="8"/>
    </row>
    <row r="408" ht="15.75" customHeight="1">
      <c r="K408" s="8"/>
      <c r="L408" s="8"/>
      <c r="O408" s="8"/>
      <c r="Q408" s="8"/>
      <c r="R408" s="8"/>
      <c r="S408" s="8"/>
    </row>
    <row r="409" ht="15.75" customHeight="1">
      <c r="K409" s="8"/>
      <c r="L409" s="8"/>
      <c r="O409" s="8"/>
      <c r="Q409" s="8"/>
      <c r="R409" s="8"/>
      <c r="S409" s="8"/>
    </row>
    <row r="410" ht="15.75" customHeight="1">
      <c r="K410" s="8"/>
      <c r="L410" s="8"/>
      <c r="O410" s="8"/>
      <c r="Q410" s="8"/>
      <c r="R410" s="8"/>
      <c r="S410" s="8"/>
    </row>
    <row r="411" ht="15.75" customHeight="1">
      <c r="K411" s="8"/>
      <c r="L411" s="8"/>
      <c r="O411" s="8"/>
      <c r="Q411" s="8"/>
      <c r="R411" s="8"/>
      <c r="S411" s="8"/>
    </row>
    <row r="412" ht="15.75" customHeight="1">
      <c r="K412" s="8"/>
      <c r="L412" s="8"/>
      <c r="O412" s="8"/>
      <c r="Q412" s="8"/>
      <c r="R412" s="8"/>
      <c r="S412" s="8"/>
    </row>
    <row r="413" ht="15.75" customHeight="1">
      <c r="K413" s="8"/>
      <c r="L413" s="8"/>
      <c r="O413" s="8"/>
      <c r="Q413" s="8"/>
      <c r="R413" s="8"/>
      <c r="S413" s="8"/>
    </row>
    <row r="414" ht="15.75" customHeight="1">
      <c r="K414" s="8"/>
      <c r="L414" s="8"/>
      <c r="O414" s="8"/>
      <c r="Q414" s="8"/>
      <c r="R414" s="8"/>
      <c r="S414" s="8"/>
    </row>
    <row r="415" ht="15.75" customHeight="1">
      <c r="K415" s="8"/>
      <c r="L415" s="8"/>
      <c r="O415" s="8"/>
      <c r="Q415" s="8"/>
      <c r="R415" s="8"/>
      <c r="S415" s="8"/>
    </row>
    <row r="416" ht="15.75" customHeight="1">
      <c r="K416" s="8"/>
      <c r="L416" s="8"/>
      <c r="O416" s="8"/>
      <c r="Q416" s="8"/>
      <c r="R416" s="8"/>
      <c r="S416" s="8"/>
    </row>
    <row r="417" ht="15.75" customHeight="1">
      <c r="K417" s="8"/>
      <c r="L417" s="8"/>
      <c r="O417" s="8"/>
      <c r="Q417" s="8"/>
      <c r="R417" s="8"/>
      <c r="S417" s="8"/>
    </row>
    <row r="418" ht="15.75" customHeight="1">
      <c r="K418" s="8"/>
      <c r="L418" s="8"/>
      <c r="O418" s="8"/>
      <c r="Q418" s="8"/>
      <c r="R418" s="8"/>
      <c r="S418" s="8"/>
    </row>
    <row r="419" ht="15.75" customHeight="1">
      <c r="K419" s="8"/>
      <c r="L419" s="8"/>
      <c r="O419" s="8"/>
      <c r="Q419" s="8"/>
      <c r="R419" s="8"/>
      <c r="S419" s="8"/>
    </row>
    <row r="420" ht="15.75" customHeight="1">
      <c r="K420" s="8"/>
      <c r="L420" s="8"/>
      <c r="O420" s="8"/>
      <c r="Q420" s="8"/>
      <c r="R420" s="8"/>
      <c r="S420" s="8"/>
    </row>
    <row r="421" ht="15.75" customHeight="1">
      <c r="K421" s="8"/>
      <c r="L421" s="8"/>
      <c r="O421" s="8"/>
      <c r="Q421" s="8"/>
      <c r="R421" s="8"/>
      <c r="S421" s="8"/>
    </row>
    <row r="422" ht="15.75" customHeight="1">
      <c r="K422" s="8"/>
      <c r="L422" s="8"/>
      <c r="O422" s="8"/>
      <c r="Q422" s="8"/>
      <c r="R422" s="8"/>
      <c r="S422" s="8"/>
    </row>
    <row r="423" ht="15.75" customHeight="1">
      <c r="K423" s="8"/>
      <c r="L423" s="8"/>
      <c r="O423" s="8"/>
      <c r="Q423" s="8"/>
      <c r="R423" s="8"/>
      <c r="S423" s="8"/>
    </row>
    <row r="424" ht="15.75" customHeight="1">
      <c r="K424" s="8"/>
      <c r="L424" s="8"/>
      <c r="O424" s="8"/>
      <c r="Q424" s="8"/>
      <c r="R424" s="8"/>
      <c r="S424" s="8"/>
    </row>
    <row r="425" ht="15.75" customHeight="1">
      <c r="K425" s="8"/>
      <c r="L425" s="8"/>
      <c r="O425" s="8"/>
      <c r="Q425" s="8"/>
      <c r="R425" s="8"/>
      <c r="S425" s="8"/>
    </row>
    <row r="426" ht="15.75" customHeight="1">
      <c r="K426" s="8"/>
      <c r="L426" s="8"/>
      <c r="O426" s="8"/>
      <c r="Q426" s="8"/>
      <c r="R426" s="8"/>
      <c r="S426" s="8"/>
    </row>
    <row r="427" ht="15.75" customHeight="1">
      <c r="K427" s="8"/>
      <c r="L427" s="8"/>
      <c r="O427" s="8"/>
      <c r="Q427" s="8"/>
      <c r="R427" s="8"/>
      <c r="S427" s="8"/>
    </row>
    <row r="428" ht="15.75" customHeight="1">
      <c r="K428" s="8"/>
      <c r="L428" s="8"/>
      <c r="O428" s="8"/>
      <c r="Q428" s="8"/>
      <c r="R428" s="8"/>
      <c r="S428" s="8"/>
    </row>
    <row r="429" ht="15.75" customHeight="1">
      <c r="K429" s="8"/>
      <c r="L429" s="8"/>
      <c r="O429" s="8"/>
      <c r="Q429" s="8"/>
      <c r="R429" s="8"/>
      <c r="S429" s="8"/>
    </row>
    <row r="430" ht="15.75" customHeight="1">
      <c r="K430" s="8"/>
      <c r="L430" s="8"/>
      <c r="O430" s="8"/>
      <c r="Q430" s="8"/>
      <c r="R430" s="8"/>
      <c r="S430" s="8"/>
    </row>
    <row r="431" ht="15.75" customHeight="1">
      <c r="K431" s="8"/>
      <c r="L431" s="8"/>
      <c r="O431" s="8"/>
      <c r="Q431" s="8"/>
      <c r="R431" s="8"/>
      <c r="S431" s="8"/>
    </row>
    <row r="432" ht="15.75" customHeight="1">
      <c r="K432" s="8"/>
      <c r="L432" s="8"/>
      <c r="O432" s="8"/>
      <c r="Q432" s="8"/>
      <c r="R432" s="8"/>
      <c r="S432" s="8"/>
    </row>
    <row r="433" ht="15.75" customHeight="1">
      <c r="K433" s="8"/>
      <c r="L433" s="8"/>
      <c r="O433" s="8"/>
      <c r="Q433" s="8"/>
      <c r="R433" s="8"/>
      <c r="S433" s="8"/>
    </row>
    <row r="434" ht="15.75" customHeight="1">
      <c r="K434" s="8"/>
      <c r="L434" s="8"/>
      <c r="O434" s="8"/>
      <c r="Q434" s="8"/>
      <c r="R434" s="8"/>
      <c r="S434" s="8"/>
    </row>
    <row r="435" ht="15.75" customHeight="1">
      <c r="K435" s="8"/>
      <c r="L435" s="8"/>
      <c r="O435" s="8"/>
      <c r="Q435" s="8"/>
      <c r="R435" s="8"/>
      <c r="S435" s="8"/>
    </row>
    <row r="436" ht="15.75" customHeight="1">
      <c r="K436" s="8"/>
      <c r="L436" s="8"/>
      <c r="O436" s="8"/>
      <c r="Q436" s="8"/>
      <c r="R436" s="8"/>
      <c r="S436" s="8"/>
    </row>
    <row r="437" ht="15.75" customHeight="1">
      <c r="K437" s="8"/>
      <c r="L437" s="8"/>
      <c r="O437" s="8"/>
      <c r="Q437" s="8"/>
      <c r="R437" s="8"/>
      <c r="S437" s="8"/>
    </row>
    <row r="438" ht="15.75" customHeight="1">
      <c r="K438" s="8"/>
      <c r="L438" s="8"/>
      <c r="O438" s="8"/>
      <c r="Q438" s="8"/>
      <c r="R438" s="8"/>
      <c r="S438" s="8"/>
    </row>
    <row r="439" ht="15.75" customHeight="1">
      <c r="K439" s="8"/>
      <c r="L439" s="8"/>
      <c r="O439" s="8"/>
      <c r="Q439" s="8"/>
      <c r="R439" s="8"/>
      <c r="S439" s="8"/>
    </row>
    <row r="440" ht="15.75" customHeight="1">
      <c r="K440" s="8"/>
      <c r="L440" s="8"/>
      <c r="O440" s="8"/>
      <c r="Q440" s="8"/>
      <c r="R440" s="8"/>
      <c r="S440" s="8"/>
    </row>
    <row r="441" ht="15.75" customHeight="1">
      <c r="K441" s="8"/>
      <c r="L441" s="8"/>
      <c r="O441" s="8"/>
      <c r="Q441" s="8"/>
      <c r="R441" s="8"/>
      <c r="S441" s="8"/>
    </row>
    <row r="442" ht="15.75" customHeight="1">
      <c r="K442" s="8"/>
      <c r="L442" s="8"/>
      <c r="O442" s="8"/>
      <c r="Q442" s="8"/>
      <c r="R442" s="8"/>
      <c r="S442" s="8"/>
    </row>
    <row r="443" ht="15.75" customHeight="1">
      <c r="K443" s="8"/>
      <c r="L443" s="8"/>
      <c r="O443" s="8"/>
      <c r="Q443" s="8"/>
      <c r="R443" s="8"/>
      <c r="S443" s="8"/>
    </row>
    <row r="444" ht="15.75" customHeight="1">
      <c r="K444" s="8"/>
      <c r="L444" s="8"/>
      <c r="O444" s="8"/>
      <c r="Q444" s="8"/>
      <c r="R444" s="8"/>
      <c r="S444" s="8"/>
    </row>
    <row r="445" ht="15.75" customHeight="1">
      <c r="K445" s="8"/>
      <c r="L445" s="8"/>
      <c r="O445" s="8"/>
      <c r="Q445" s="8"/>
      <c r="R445" s="8"/>
      <c r="S445" s="8"/>
    </row>
    <row r="446" ht="15.75" customHeight="1">
      <c r="K446" s="8"/>
      <c r="L446" s="8"/>
      <c r="O446" s="8"/>
      <c r="Q446" s="8"/>
      <c r="R446" s="8"/>
      <c r="S446" s="8"/>
    </row>
    <row r="447" ht="15.75" customHeight="1">
      <c r="K447" s="8"/>
      <c r="L447" s="8"/>
      <c r="O447" s="8"/>
      <c r="Q447" s="8"/>
      <c r="R447" s="8"/>
      <c r="S447" s="8"/>
    </row>
    <row r="448" ht="15.75" customHeight="1">
      <c r="K448" s="8"/>
      <c r="L448" s="8"/>
      <c r="O448" s="8"/>
      <c r="Q448" s="8"/>
      <c r="R448" s="8"/>
      <c r="S448" s="8"/>
    </row>
    <row r="449" ht="15.75" customHeight="1">
      <c r="K449" s="8"/>
      <c r="L449" s="8"/>
      <c r="O449" s="8"/>
      <c r="Q449" s="8"/>
      <c r="R449" s="8"/>
      <c r="S449" s="8"/>
    </row>
    <row r="450" ht="15.75" customHeight="1">
      <c r="K450" s="8"/>
      <c r="L450" s="8"/>
      <c r="O450" s="8"/>
      <c r="Q450" s="8"/>
      <c r="R450" s="8"/>
      <c r="S450" s="8"/>
    </row>
    <row r="451" ht="15.75" customHeight="1">
      <c r="K451" s="8"/>
      <c r="L451" s="8"/>
      <c r="O451" s="8"/>
      <c r="Q451" s="8"/>
      <c r="R451" s="8"/>
      <c r="S451" s="8"/>
    </row>
    <row r="452" ht="15.75" customHeight="1">
      <c r="K452" s="8"/>
      <c r="L452" s="8"/>
      <c r="O452" s="8"/>
      <c r="Q452" s="8"/>
      <c r="R452" s="8"/>
      <c r="S452" s="8"/>
    </row>
    <row r="453" ht="15.75" customHeight="1">
      <c r="K453" s="8"/>
      <c r="L453" s="8"/>
      <c r="O453" s="8"/>
      <c r="Q453" s="8"/>
      <c r="R453" s="8"/>
      <c r="S453" s="8"/>
    </row>
    <row r="454" ht="15.75" customHeight="1">
      <c r="K454" s="8"/>
      <c r="L454" s="8"/>
      <c r="O454" s="8"/>
      <c r="Q454" s="8"/>
      <c r="R454" s="8"/>
      <c r="S454" s="8"/>
    </row>
    <row r="455" ht="15.75" customHeight="1">
      <c r="K455" s="8"/>
      <c r="L455" s="8"/>
      <c r="O455" s="8"/>
      <c r="Q455" s="8"/>
      <c r="R455" s="8"/>
      <c r="S455" s="8"/>
    </row>
    <row r="456" ht="15.75" customHeight="1">
      <c r="K456" s="8"/>
      <c r="L456" s="8"/>
      <c r="O456" s="8"/>
      <c r="Q456" s="8"/>
      <c r="R456" s="8"/>
      <c r="S456" s="8"/>
    </row>
    <row r="457" ht="15.75" customHeight="1">
      <c r="K457" s="8"/>
      <c r="L457" s="8"/>
      <c r="O457" s="8"/>
      <c r="Q457" s="8"/>
      <c r="R457" s="8"/>
      <c r="S457" s="8"/>
    </row>
    <row r="458" ht="15.75" customHeight="1">
      <c r="K458" s="8"/>
      <c r="L458" s="8"/>
      <c r="O458" s="8"/>
      <c r="Q458" s="8"/>
      <c r="R458" s="8"/>
      <c r="S458" s="8"/>
    </row>
    <row r="459" ht="15.75" customHeight="1">
      <c r="K459" s="8"/>
      <c r="L459" s="8"/>
      <c r="O459" s="8"/>
      <c r="Q459" s="8"/>
      <c r="R459" s="8"/>
      <c r="S459" s="8"/>
    </row>
    <row r="460" ht="15.75" customHeight="1">
      <c r="K460" s="8"/>
      <c r="L460" s="8"/>
      <c r="O460" s="8"/>
      <c r="Q460" s="8"/>
      <c r="R460" s="8"/>
      <c r="S460" s="8"/>
    </row>
    <row r="461" ht="15.75" customHeight="1">
      <c r="K461" s="8"/>
      <c r="L461" s="8"/>
      <c r="O461" s="8"/>
      <c r="Q461" s="8"/>
      <c r="R461" s="8"/>
      <c r="S461" s="8"/>
    </row>
    <row r="462" ht="15.75" customHeight="1">
      <c r="K462" s="8"/>
      <c r="L462" s="8"/>
      <c r="O462" s="8"/>
      <c r="Q462" s="8"/>
      <c r="R462" s="8"/>
      <c r="S462" s="8"/>
    </row>
    <row r="463" ht="15.75" customHeight="1">
      <c r="K463" s="8"/>
      <c r="L463" s="8"/>
      <c r="O463" s="8"/>
      <c r="Q463" s="8"/>
      <c r="R463" s="8"/>
      <c r="S463" s="8"/>
    </row>
    <row r="464" ht="15.75" customHeight="1">
      <c r="K464" s="8"/>
      <c r="L464" s="8"/>
      <c r="O464" s="8"/>
      <c r="Q464" s="8"/>
      <c r="R464" s="8"/>
      <c r="S464" s="8"/>
    </row>
    <row r="465" ht="15.75" customHeight="1">
      <c r="K465" s="8"/>
      <c r="L465" s="8"/>
      <c r="O465" s="8"/>
      <c r="Q465" s="8"/>
      <c r="R465" s="8"/>
      <c r="S465" s="8"/>
    </row>
    <row r="466" ht="15.75" customHeight="1">
      <c r="K466" s="8"/>
      <c r="L466" s="8"/>
      <c r="O466" s="8"/>
      <c r="Q466" s="8"/>
      <c r="R466" s="8"/>
      <c r="S466" s="8"/>
    </row>
    <row r="467" ht="15.75" customHeight="1">
      <c r="K467" s="8"/>
      <c r="L467" s="8"/>
      <c r="O467" s="8"/>
      <c r="Q467" s="8"/>
      <c r="R467" s="8"/>
      <c r="S467" s="8"/>
    </row>
    <row r="468" ht="15.75" customHeight="1">
      <c r="K468" s="8"/>
      <c r="L468" s="8"/>
      <c r="O468" s="8"/>
      <c r="Q468" s="8"/>
      <c r="R468" s="8"/>
      <c r="S468" s="8"/>
    </row>
    <row r="469" ht="15.75" customHeight="1">
      <c r="K469" s="8"/>
      <c r="L469" s="8"/>
      <c r="O469" s="8"/>
      <c r="Q469" s="8"/>
      <c r="R469" s="8"/>
      <c r="S469" s="8"/>
    </row>
    <row r="470" ht="15.75" customHeight="1">
      <c r="K470" s="8"/>
      <c r="L470" s="8"/>
      <c r="O470" s="8"/>
      <c r="Q470" s="8"/>
      <c r="R470" s="8"/>
      <c r="S470" s="8"/>
    </row>
    <row r="471" ht="15.75" customHeight="1">
      <c r="K471" s="8"/>
      <c r="L471" s="8"/>
      <c r="O471" s="8"/>
      <c r="Q471" s="8"/>
      <c r="R471" s="8"/>
      <c r="S471" s="8"/>
    </row>
    <row r="472" ht="15.75" customHeight="1">
      <c r="K472" s="8"/>
      <c r="L472" s="8"/>
      <c r="O472" s="8"/>
      <c r="Q472" s="8"/>
      <c r="R472" s="8"/>
      <c r="S472" s="8"/>
    </row>
    <row r="473" ht="15.75" customHeight="1">
      <c r="K473" s="8"/>
      <c r="L473" s="8"/>
      <c r="O473" s="8"/>
      <c r="Q473" s="8"/>
      <c r="R473" s="8"/>
      <c r="S473" s="8"/>
    </row>
    <row r="474" ht="15.75" customHeight="1">
      <c r="K474" s="8"/>
      <c r="L474" s="8"/>
      <c r="O474" s="8"/>
      <c r="Q474" s="8"/>
      <c r="R474" s="8"/>
      <c r="S474" s="8"/>
    </row>
    <row r="475" ht="15.75" customHeight="1">
      <c r="K475" s="8"/>
      <c r="L475" s="8"/>
      <c r="O475" s="8"/>
      <c r="Q475" s="8"/>
      <c r="R475" s="8"/>
      <c r="S475" s="8"/>
    </row>
    <row r="476" ht="15.75" customHeight="1">
      <c r="K476" s="8"/>
      <c r="L476" s="8"/>
      <c r="O476" s="8"/>
      <c r="Q476" s="8"/>
      <c r="R476" s="8"/>
      <c r="S476" s="8"/>
    </row>
    <row r="477" ht="15.75" customHeight="1">
      <c r="K477" s="8"/>
      <c r="L477" s="8"/>
      <c r="O477" s="8"/>
      <c r="Q477" s="8"/>
      <c r="R477" s="8"/>
      <c r="S477" s="8"/>
    </row>
    <row r="478" ht="15.75" customHeight="1">
      <c r="K478" s="8"/>
      <c r="L478" s="8"/>
      <c r="O478" s="8"/>
      <c r="Q478" s="8"/>
      <c r="R478" s="8"/>
      <c r="S478" s="8"/>
    </row>
    <row r="479" ht="15.75" customHeight="1">
      <c r="K479" s="8"/>
      <c r="L479" s="8"/>
      <c r="O479" s="8"/>
      <c r="Q479" s="8"/>
      <c r="R479" s="8"/>
      <c r="S479" s="8"/>
    </row>
    <row r="480" ht="15.75" customHeight="1">
      <c r="K480" s="8"/>
      <c r="L480" s="8"/>
      <c r="O480" s="8"/>
      <c r="Q480" s="8"/>
      <c r="R480" s="8"/>
      <c r="S480" s="8"/>
    </row>
    <row r="481" ht="15.75" customHeight="1">
      <c r="K481" s="8"/>
      <c r="L481" s="8"/>
      <c r="O481" s="8"/>
      <c r="Q481" s="8"/>
      <c r="R481" s="8"/>
      <c r="S481" s="8"/>
    </row>
    <row r="482" ht="15.75" customHeight="1">
      <c r="K482" s="8"/>
      <c r="L482" s="8"/>
      <c r="O482" s="8"/>
      <c r="Q482" s="8"/>
      <c r="R482" s="8"/>
      <c r="S482" s="8"/>
    </row>
    <row r="483" ht="15.75" customHeight="1">
      <c r="K483" s="8"/>
      <c r="L483" s="8"/>
      <c r="O483" s="8"/>
      <c r="Q483" s="8"/>
      <c r="R483" s="8"/>
      <c r="S483" s="8"/>
    </row>
    <row r="484" ht="15.75" customHeight="1">
      <c r="K484" s="8"/>
      <c r="L484" s="8"/>
      <c r="O484" s="8"/>
      <c r="Q484" s="8"/>
      <c r="R484" s="8"/>
      <c r="S484" s="8"/>
    </row>
    <row r="485" ht="15.75" customHeight="1">
      <c r="K485" s="8"/>
      <c r="L485" s="8"/>
      <c r="O485" s="8"/>
      <c r="Q485" s="8"/>
      <c r="R485" s="8"/>
      <c r="S485" s="8"/>
    </row>
    <row r="486" ht="15.75" customHeight="1">
      <c r="K486" s="8"/>
      <c r="L486" s="8"/>
      <c r="O486" s="8"/>
      <c r="Q486" s="8"/>
      <c r="R486" s="8"/>
      <c r="S486" s="8"/>
    </row>
    <row r="487" ht="15.75" customHeight="1">
      <c r="K487" s="8"/>
      <c r="L487" s="8"/>
      <c r="O487" s="8"/>
      <c r="Q487" s="8"/>
      <c r="R487" s="8"/>
      <c r="S487" s="8"/>
    </row>
    <row r="488" ht="15.75" customHeight="1">
      <c r="K488" s="8"/>
      <c r="L488" s="8"/>
      <c r="O488" s="8"/>
      <c r="Q488" s="8"/>
      <c r="R488" s="8"/>
      <c r="S488" s="8"/>
    </row>
    <row r="489" ht="15.75" customHeight="1">
      <c r="K489" s="8"/>
      <c r="L489" s="8"/>
      <c r="O489" s="8"/>
      <c r="Q489" s="8"/>
      <c r="R489" s="8"/>
      <c r="S489" s="8"/>
    </row>
    <row r="490" ht="15.75" customHeight="1">
      <c r="K490" s="8"/>
      <c r="L490" s="8"/>
      <c r="O490" s="8"/>
      <c r="Q490" s="8"/>
      <c r="R490" s="8"/>
      <c r="S490" s="8"/>
    </row>
    <row r="491" ht="15.75" customHeight="1">
      <c r="K491" s="8"/>
      <c r="L491" s="8"/>
      <c r="O491" s="8"/>
      <c r="Q491" s="8"/>
      <c r="R491" s="8"/>
      <c r="S491" s="8"/>
    </row>
    <row r="492" ht="15.75" customHeight="1">
      <c r="K492" s="8"/>
      <c r="L492" s="8"/>
      <c r="O492" s="8"/>
      <c r="Q492" s="8"/>
      <c r="R492" s="8"/>
      <c r="S492" s="8"/>
    </row>
    <row r="493" ht="15.75" customHeight="1">
      <c r="K493" s="8"/>
      <c r="L493" s="8"/>
      <c r="O493" s="8"/>
      <c r="Q493" s="8"/>
      <c r="R493" s="8"/>
      <c r="S493" s="8"/>
    </row>
    <row r="494" ht="15.75" customHeight="1">
      <c r="K494" s="8"/>
      <c r="L494" s="8"/>
      <c r="O494" s="8"/>
      <c r="Q494" s="8"/>
      <c r="R494" s="8"/>
      <c r="S494" s="8"/>
    </row>
    <row r="495" ht="15.75" customHeight="1">
      <c r="K495" s="8"/>
      <c r="L495" s="8"/>
      <c r="O495" s="8"/>
      <c r="Q495" s="8"/>
      <c r="R495" s="8"/>
      <c r="S495" s="8"/>
    </row>
    <row r="496" ht="15.75" customHeight="1">
      <c r="K496" s="8"/>
      <c r="L496" s="8"/>
      <c r="O496" s="8"/>
      <c r="Q496" s="8"/>
      <c r="R496" s="8"/>
      <c r="S496" s="8"/>
    </row>
    <row r="497" ht="15.75" customHeight="1">
      <c r="K497" s="8"/>
      <c r="L497" s="8"/>
      <c r="O497" s="8"/>
      <c r="Q497" s="8"/>
      <c r="R497" s="8"/>
      <c r="S497" s="8"/>
    </row>
    <row r="498" ht="15.75" customHeight="1">
      <c r="K498" s="8"/>
      <c r="L498" s="8"/>
      <c r="O498" s="8"/>
      <c r="Q498" s="8"/>
      <c r="R498" s="8"/>
      <c r="S498" s="8"/>
    </row>
    <row r="499" ht="15.75" customHeight="1">
      <c r="K499" s="8"/>
      <c r="L499" s="8"/>
      <c r="O499" s="8"/>
      <c r="Q499" s="8"/>
      <c r="R499" s="8"/>
      <c r="S499" s="8"/>
    </row>
    <row r="500" ht="15.75" customHeight="1">
      <c r="K500" s="8"/>
      <c r="L500" s="8"/>
      <c r="O500" s="8"/>
      <c r="Q500" s="8"/>
      <c r="R500" s="8"/>
      <c r="S500" s="8"/>
    </row>
    <row r="501" ht="15.75" customHeight="1">
      <c r="K501" s="8"/>
      <c r="L501" s="8"/>
      <c r="O501" s="8"/>
      <c r="Q501" s="8"/>
      <c r="R501" s="8"/>
      <c r="S501" s="8"/>
    </row>
    <row r="502" ht="15.75" customHeight="1">
      <c r="K502" s="8"/>
      <c r="L502" s="8"/>
      <c r="O502" s="8"/>
      <c r="Q502" s="8"/>
      <c r="R502" s="8"/>
      <c r="S502" s="8"/>
    </row>
    <row r="503" ht="15.75" customHeight="1">
      <c r="K503" s="8"/>
      <c r="L503" s="8"/>
      <c r="O503" s="8"/>
      <c r="Q503" s="8"/>
      <c r="R503" s="8"/>
      <c r="S503" s="8"/>
    </row>
    <row r="504" ht="15.75" customHeight="1">
      <c r="K504" s="8"/>
      <c r="L504" s="8"/>
      <c r="O504" s="8"/>
      <c r="Q504" s="8"/>
      <c r="R504" s="8"/>
      <c r="S504" s="8"/>
    </row>
    <row r="505" ht="15.75" customHeight="1">
      <c r="K505" s="8"/>
      <c r="L505" s="8"/>
      <c r="O505" s="8"/>
      <c r="Q505" s="8"/>
      <c r="R505" s="8"/>
      <c r="S505" s="8"/>
    </row>
    <row r="506" ht="15.75" customHeight="1">
      <c r="K506" s="8"/>
      <c r="L506" s="8"/>
      <c r="O506" s="8"/>
      <c r="Q506" s="8"/>
      <c r="R506" s="8"/>
      <c r="S506" s="8"/>
    </row>
    <row r="507" ht="15.75" customHeight="1">
      <c r="K507" s="8"/>
      <c r="L507" s="8"/>
      <c r="O507" s="8"/>
      <c r="Q507" s="8"/>
      <c r="R507" s="8"/>
      <c r="S507" s="8"/>
    </row>
    <row r="508" ht="15.75" customHeight="1">
      <c r="K508" s="8"/>
      <c r="L508" s="8"/>
      <c r="O508" s="8"/>
      <c r="Q508" s="8"/>
      <c r="R508" s="8"/>
      <c r="S508" s="8"/>
    </row>
    <row r="509" ht="15.75" customHeight="1">
      <c r="K509" s="8"/>
      <c r="L509" s="8"/>
      <c r="O509" s="8"/>
      <c r="Q509" s="8"/>
      <c r="R509" s="8"/>
      <c r="S509" s="8"/>
    </row>
    <row r="510" ht="15.75" customHeight="1">
      <c r="K510" s="8"/>
      <c r="L510" s="8"/>
      <c r="O510" s="8"/>
      <c r="Q510" s="8"/>
      <c r="R510" s="8"/>
      <c r="S510" s="8"/>
    </row>
    <row r="511" ht="15.75" customHeight="1">
      <c r="K511" s="8"/>
      <c r="L511" s="8"/>
      <c r="O511" s="8"/>
      <c r="Q511" s="8"/>
      <c r="R511" s="8"/>
      <c r="S511" s="8"/>
    </row>
    <row r="512" ht="15.75" customHeight="1">
      <c r="K512" s="8"/>
      <c r="L512" s="8"/>
      <c r="O512" s="8"/>
      <c r="Q512" s="8"/>
      <c r="R512" s="8"/>
      <c r="S512" s="8"/>
    </row>
    <row r="513" ht="15.75" customHeight="1">
      <c r="K513" s="8"/>
      <c r="L513" s="8"/>
      <c r="O513" s="8"/>
      <c r="Q513" s="8"/>
      <c r="R513" s="8"/>
      <c r="S513" s="8"/>
    </row>
    <row r="514" ht="15.75" customHeight="1">
      <c r="K514" s="8"/>
      <c r="L514" s="8"/>
      <c r="O514" s="8"/>
      <c r="Q514" s="8"/>
      <c r="R514" s="8"/>
      <c r="S514" s="8"/>
    </row>
    <row r="515" ht="15.75" customHeight="1">
      <c r="K515" s="8"/>
      <c r="L515" s="8"/>
      <c r="O515" s="8"/>
      <c r="Q515" s="8"/>
      <c r="R515" s="8"/>
      <c r="S515" s="8"/>
    </row>
    <row r="516" ht="15.75" customHeight="1">
      <c r="K516" s="8"/>
      <c r="L516" s="8"/>
      <c r="O516" s="8"/>
      <c r="Q516" s="8"/>
      <c r="R516" s="8"/>
      <c r="S516" s="8"/>
    </row>
    <row r="517" ht="15.75" customHeight="1">
      <c r="K517" s="8"/>
      <c r="L517" s="8"/>
      <c r="O517" s="8"/>
      <c r="Q517" s="8"/>
      <c r="R517" s="8"/>
      <c r="S517" s="8"/>
    </row>
    <row r="518" ht="15.75" customHeight="1">
      <c r="K518" s="8"/>
      <c r="L518" s="8"/>
      <c r="O518" s="8"/>
      <c r="Q518" s="8"/>
      <c r="R518" s="8"/>
      <c r="S518" s="8"/>
    </row>
    <row r="519" ht="15.75" customHeight="1">
      <c r="K519" s="8"/>
      <c r="L519" s="8"/>
      <c r="O519" s="8"/>
      <c r="Q519" s="8"/>
      <c r="R519" s="8"/>
      <c r="S519" s="8"/>
    </row>
    <row r="520" ht="15.75" customHeight="1">
      <c r="K520" s="8"/>
      <c r="L520" s="8"/>
      <c r="O520" s="8"/>
      <c r="Q520" s="8"/>
      <c r="R520" s="8"/>
      <c r="S520" s="8"/>
    </row>
    <row r="521" ht="15.75" customHeight="1">
      <c r="K521" s="8"/>
      <c r="L521" s="8"/>
      <c r="O521" s="8"/>
      <c r="Q521" s="8"/>
      <c r="R521" s="8"/>
      <c r="S521" s="8"/>
    </row>
    <row r="522" ht="15.75" customHeight="1">
      <c r="K522" s="8"/>
      <c r="L522" s="8"/>
      <c r="O522" s="8"/>
      <c r="Q522" s="8"/>
      <c r="R522" s="8"/>
      <c r="S522" s="8"/>
    </row>
    <row r="523" ht="15.75" customHeight="1">
      <c r="K523" s="8"/>
      <c r="L523" s="8"/>
      <c r="O523" s="8"/>
      <c r="Q523" s="8"/>
      <c r="R523" s="8"/>
      <c r="S523" s="8"/>
    </row>
    <row r="524" ht="15.75" customHeight="1">
      <c r="K524" s="8"/>
      <c r="L524" s="8"/>
      <c r="O524" s="8"/>
      <c r="Q524" s="8"/>
      <c r="R524" s="8"/>
      <c r="S524" s="8"/>
    </row>
    <row r="525" ht="15.75" customHeight="1">
      <c r="K525" s="8"/>
      <c r="L525" s="8"/>
      <c r="O525" s="8"/>
      <c r="Q525" s="8"/>
      <c r="R525" s="8"/>
      <c r="S525" s="8"/>
    </row>
    <row r="526" ht="15.75" customHeight="1">
      <c r="K526" s="8"/>
      <c r="L526" s="8"/>
      <c r="O526" s="8"/>
      <c r="Q526" s="8"/>
      <c r="R526" s="8"/>
      <c r="S526" s="8"/>
    </row>
    <row r="527" ht="15.75" customHeight="1">
      <c r="K527" s="8"/>
      <c r="L527" s="8"/>
      <c r="O527" s="8"/>
      <c r="Q527" s="8"/>
      <c r="R527" s="8"/>
      <c r="S527" s="8"/>
    </row>
    <row r="528" ht="15.75" customHeight="1">
      <c r="K528" s="8"/>
      <c r="L528" s="8"/>
      <c r="O528" s="8"/>
      <c r="Q528" s="8"/>
      <c r="R528" s="8"/>
      <c r="S528" s="8"/>
    </row>
    <row r="529" ht="15.75" customHeight="1">
      <c r="K529" s="8"/>
      <c r="L529" s="8"/>
      <c r="O529" s="8"/>
      <c r="Q529" s="8"/>
      <c r="R529" s="8"/>
      <c r="S529" s="8"/>
    </row>
    <row r="530" ht="15.75" customHeight="1">
      <c r="K530" s="8"/>
      <c r="L530" s="8"/>
      <c r="O530" s="8"/>
      <c r="Q530" s="8"/>
      <c r="R530" s="8"/>
      <c r="S530" s="8"/>
    </row>
    <row r="531" ht="15.75" customHeight="1">
      <c r="K531" s="8"/>
      <c r="L531" s="8"/>
      <c r="O531" s="8"/>
      <c r="Q531" s="8"/>
      <c r="R531" s="8"/>
      <c r="S531" s="8"/>
    </row>
    <row r="532" ht="15.75" customHeight="1">
      <c r="K532" s="8"/>
      <c r="L532" s="8"/>
      <c r="O532" s="8"/>
      <c r="Q532" s="8"/>
      <c r="R532" s="8"/>
      <c r="S532" s="8"/>
    </row>
    <row r="533" ht="15.75" customHeight="1">
      <c r="K533" s="8"/>
      <c r="L533" s="8"/>
      <c r="O533" s="8"/>
      <c r="Q533" s="8"/>
      <c r="R533" s="8"/>
      <c r="S533" s="8"/>
    </row>
    <row r="534" ht="15.75" customHeight="1">
      <c r="K534" s="8"/>
      <c r="L534" s="8"/>
      <c r="O534" s="8"/>
      <c r="Q534" s="8"/>
      <c r="R534" s="8"/>
      <c r="S534" s="8"/>
    </row>
    <row r="535" ht="15.75" customHeight="1">
      <c r="K535" s="8"/>
      <c r="L535" s="8"/>
      <c r="O535" s="8"/>
      <c r="Q535" s="8"/>
      <c r="R535" s="8"/>
      <c r="S535" s="8"/>
    </row>
    <row r="536" ht="15.75" customHeight="1">
      <c r="K536" s="8"/>
      <c r="L536" s="8"/>
      <c r="O536" s="8"/>
      <c r="Q536" s="8"/>
      <c r="R536" s="8"/>
      <c r="S536" s="8"/>
    </row>
    <row r="537" ht="15.75" customHeight="1">
      <c r="K537" s="8"/>
      <c r="L537" s="8"/>
      <c r="O537" s="8"/>
      <c r="Q537" s="8"/>
      <c r="R537" s="8"/>
      <c r="S537" s="8"/>
    </row>
    <row r="538" ht="15.75" customHeight="1">
      <c r="K538" s="8"/>
      <c r="L538" s="8"/>
      <c r="O538" s="8"/>
      <c r="Q538" s="8"/>
      <c r="R538" s="8"/>
      <c r="S538" s="8"/>
    </row>
    <row r="539" ht="15.75" customHeight="1">
      <c r="K539" s="8"/>
      <c r="L539" s="8"/>
      <c r="O539" s="8"/>
      <c r="Q539" s="8"/>
      <c r="R539" s="8"/>
      <c r="S539" s="8"/>
    </row>
    <row r="540" ht="15.75" customHeight="1">
      <c r="K540" s="8"/>
      <c r="L540" s="8"/>
      <c r="O540" s="8"/>
      <c r="Q540" s="8"/>
      <c r="R540" s="8"/>
      <c r="S540" s="8"/>
    </row>
    <row r="541" ht="15.75" customHeight="1">
      <c r="K541" s="8"/>
      <c r="L541" s="8"/>
      <c r="O541" s="8"/>
      <c r="Q541" s="8"/>
      <c r="R541" s="8"/>
      <c r="S541" s="8"/>
    </row>
    <row r="542" ht="15.75" customHeight="1">
      <c r="K542" s="8"/>
      <c r="L542" s="8"/>
      <c r="O542" s="8"/>
      <c r="Q542" s="8"/>
      <c r="R542" s="8"/>
      <c r="S542" s="8"/>
    </row>
    <row r="543" ht="15.75" customHeight="1">
      <c r="K543" s="8"/>
      <c r="L543" s="8"/>
      <c r="O543" s="8"/>
      <c r="Q543" s="8"/>
      <c r="R543" s="8"/>
      <c r="S543" s="8"/>
    </row>
    <row r="544" ht="15.75" customHeight="1">
      <c r="K544" s="8"/>
      <c r="L544" s="8"/>
      <c r="O544" s="8"/>
      <c r="Q544" s="8"/>
      <c r="R544" s="8"/>
      <c r="S544" s="8"/>
    </row>
    <row r="545" ht="15.75" customHeight="1">
      <c r="K545" s="8"/>
      <c r="L545" s="8"/>
      <c r="O545" s="8"/>
      <c r="Q545" s="8"/>
      <c r="R545" s="8"/>
      <c r="S545" s="8"/>
    </row>
    <row r="546" ht="15.75" customHeight="1">
      <c r="K546" s="8"/>
      <c r="L546" s="8"/>
      <c r="O546" s="8"/>
      <c r="Q546" s="8"/>
      <c r="R546" s="8"/>
      <c r="S546" s="8"/>
    </row>
    <row r="547" ht="15.75" customHeight="1">
      <c r="K547" s="8"/>
      <c r="L547" s="8"/>
      <c r="O547" s="8"/>
      <c r="Q547" s="8"/>
      <c r="R547" s="8"/>
      <c r="S547" s="8"/>
    </row>
    <row r="548" ht="15.75" customHeight="1">
      <c r="K548" s="8"/>
      <c r="L548" s="8"/>
      <c r="O548" s="8"/>
      <c r="Q548" s="8"/>
      <c r="R548" s="8"/>
      <c r="S548" s="8"/>
    </row>
    <row r="549" ht="15.75" customHeight="1">
      <c r="K549" s="8"/>
      <c r="L549" s="8"/>
      <c r="O549" s="8"/>
      <c r="Q549" s="8"/>
      <c r="R549" s="8"/>
      <c r="S549" s="8"/>
    </row>
    <row r="550" ht="15.75" customHeight="1">
      <c r="K550" s="8"/>
      <c r="L550" s="8"/>
      <c r="O550" s="8"/>
      <c r="Q550" s="8"/>
      <c r="R550" s="8"/>
      <c r="S550" s="8"/>
    </row>
    <row r="551" ht="15.75" customHeight="1">
      <c r="K551" s="8"/>
      <c r="L551" s="8"/>
      <c r="O551" s="8"/>
      <c r="Q551" s="8"/>
      <c r="R551" s="8"/>
      <c r="S551" s="8"/>
    </row>
    <row r="552" ht="15.75" customHeight="1">
      <c r="K552" s="8"/>
      <c r="L552" s="8"/>
      <c r="O552" s="8"/>
      <c r="Q552" s="8"/>
      <c r="R552" s="8"/>
      <c r="S552" s="8"/>
    </row>
    <row r="553" ht="15.75" customHeight="1">
      <c r="K553" s="8"/>
      <c r="L553" s="8"/>
      <c r="O553" s="8"/>
      <c r="Q553" s="8"/>
      <c r="R553" s="8"/>
      <c r="S553" s="8"/>
    </row>
    <row r="554" ht="15.75" customHeight="1">
      <c r="K554" s="8"/>
      <c r="L554" s="8"/>
      <c r="O554" s="8"/>
      <c r="Q554" s="8"/>
      <c r="R554" s="8"/>
      <c r="S554" s="8"/>
    </row>
    <row r="555" ht="15.75" customHeight="1">
      <c r="K555" s="8"/>
      <c r="L555" s="8"/>
      <c r="O555" s="8"/>
      <c r="Q555" s="8"/>
      <c r="R555" s="8"/>
      <c r="S555" s="8"/>
    </row>
    <row r="556" ht="15.75" customHeight="1">
      <c r="K556" s="8"/>
      <c r="L556" s="8"/>
      <c r="O556" s="8"/>
      <c r="Q556" s="8"/>
      <c r="R556" s="8"/>
      <c r="S556" s="8"/>
    </row>
    <row r="557" ht="15.75" customHeight="1">
      <c r="K557" s="8"/>
      <c r="L557" s="8"/>
      <c r="O557" s="8"/>
      <c r="Q557" s="8"/>
      <c r="R557" s="8"/>
      <c r="S557" s="8"/>
    </row>
    <row r="558" ht="15.75" customHeight="1">
      <c r="K558" s="8"/>
      <c r="L558" s="8"/>
      <c r="O558" s="8"/>
      <c r="Q558" s="8"/>
      <c r="R558" s="8"/>
      <c r="S558" s="8"/>
    </row>
    <row r="559" ht="15.75" customHeight="1">
      <c r="K559" s="8"/>
      <c r="L559" s="8"/>
      <c r="O559" s="8"/>
      <c r="Q559" s="8"/>
      <c r="R559" s="8"/>
      <c r="S559" s="8"/>
    </row>
    <row r="560" ht="15.75" customHeight="1">
      <c r="K560" s="8"/>
      <c r="L560" s="8"/>
      <c r="O560" s="8"/>
      <c r="Q560" s="8"/>
      <c r="R560" s="8"/>
      <c r="S560" s="8"/>
    </row>
    <row r="561" ht="15.75" customHeight="1">
      <c r="K561" s="8"/>
      <c r="L561" s="8"/>
      <c r="O561" s="8"/>
      <c r="Q561" s="8"/>
      <c r="R561" s="8"/>
      <c r="S561" s="8"/>
    </row>
    <row r="562" ht="15.75" customHeight="1">
      <c r="K562" s="8"/>
      <c r="L562" s="8"/>
      <c r="O562" s="8"/>
      <c r="Q562" s="8"/>
      <c r="R562" s="8"/>
      <c r="S562" s="8"/>
    </row>
    <row r="563" ht="15.75" customHeight="1">
      <c r="K563" s="8"/>
      <c r="L563" s="8"/>
      <c r="O563" s="8"/>
      <c r="Q563" s="8"/>
      <c r="R563" s="8"/>
      <c r="S563" s="8"/>
    </row>
    <row r="564" ht="15.75" customHeight="1">
      <c r="K564" s="8"/>
      <c r="L564" s="8"/>
      <c r="O564" s="8"/>
      <c r="Q564" s="8"/>
      <c r="R564" s="8"/>
      <c r="S564" s="8"/>
    </row>
    <row r="565" ht="15.75" customHeight="1">
      <c r="K565" s="8"/>
      <c r="L565" s="8"/>
      <c r="O565" s="8"/>
      <c r="Q565" s="8"/>
      <c r="R565" s="8"/>
      <c r="S565" s="8"/>
    </row>
    <row r="566" ht="15.75" customHeight="1">
      <c r="K566" s="8"/>
      <c r="L566" s="8"/>
      <c r="O566" s="8"/>
      <c r="Q566" s="8"/>
      <c r="R566" s="8"/>
      <c r="S566" s="8"/>
    </row>
    <row r="567" ht="15.75" customHeight="1">
      <c r="K567" s="8"/>
      <c r="L567" s="8"/>
      <c r="O567" s="8"/>
      <c r="Q567" s="8"/>
      <c r="R567" s="8"/>
      <c r="S567" s="8"/>
    </row>
    <row r="568" ht="15.75" customHeight="1">
      <c r="K568" s="8"/>
      <c r="L568" s="8"/>
      <c r="O568" s="8"/>
      <c r="Q568" s="8"/>
      <c r="R568" s="8"/>
      <c r="S568" s="8"/>
    </row>
    <row r="569" ht="15.75" customHeight="1">
      <c r="K569" s="8"/>
      <c r="L569" s="8"/>
      <c r="O569" s="8"/>
      <c r="Q569" s="8"/>
      <c r="R569" s="8"/>
      <c r="S569" s="8"/>
    </row>
    <row r="570" ht="15.75" customHeight="1">
      <c r="K570" s="8"/>
      <c r="L570" s="8"/>
      <c r="O570" s="8"/>
      <c r="Q570" s="8"/>
      <c r="R570" s="8"/>
      <c r="S570" s="8"/>
    </row>
    <row r="571" ht="15.75" customHeight="1">
      <c r="K571" s="8"/>
      <c r="L571" s="8"/>
      <c r="O571" s="8"/>
      <c r="Q571" s="8"/>
      <c r="R571" s="8"/>
      <c r="S571" s="8"/>
    </row>
    <row r="572" ht="15.75" customHeight="1">
      <c r="K572" s="8"/>
      <c r="L572" s="8"/>
      <c r="O572" s="8"/>
      <c r="Q572" s="8"/>
      <c r="R572" s="8"/>
      <c r="S572" s="8"/>
    </row>
    <row r="573" ht="15.75" customHeight="1">
      <c r="K573" s="8"/>
      <c r="L573" s="8"/>
      <c r="O573" s="8"/>
      <c r="Q573" s="8"/>
      <c r="R573" s="8"/>
      <c r="S573" s="8"/>
    </row>
    <row r="574" ht="15.75" customHeight="1">
      <c r="K574" s="8"/>
      <c r="L574" s="8"/>
      <c r="O574" s="8"/>
      <c r="Q574" s="8"/>
      <c r="R574" s="8"/>
      <c r="S574" s="8"/>
    </row>
    <row r="575" ht="15.75" customHeight="1">
      <c r="K575" s="8"/>
      <c r="L575" s="8"/>
      <c r="O575" s="8"/>
      <c r="Q575" s="8"/>
      <c r="R575" s="8"/>
      <c r="S575" s="8"/>
    </row>
    <row r="576" ht="15.75" customHeight="1">
      <c r="K576" s="8"/>
      <c r="L576" s="8"/>
      <c r="O576" s="8"/>
      <c r="Q576" s="8"/>
      <c r="R576" s="8"/>
      <c r="S576" s="8"/>
    </row>
    <row r="577" ht="15.75" customHeight="1">
      <c r="K577" s="8"/>
      <c r="L577" s="8"/>
      <c r="O577" s="8"/>
      <c r="Q577" s="8"/>
      <c r="R577" s="8"/>
      <c r="S577" s="8"/>
    </row>
    <row r="578" ht="15.75" customHeight="1">
      <c r="K578" s="8"/>
      <c r="L578" s="8"/>
      <c r="O578" s="8"/>
      <c r="Q578" s="8"/>
      <c r="R578" s="8"/>
      <c r="S578" s="8"/>
    </row>
    <row r="579" ht="15.75" customHeight="1">
      <c r="K579" s="8"/>
      <c r="L579" s="8"/>
      <c r="O579" s="8"/>
      <c r="Q579" s="8"/>
      <c r="R579" s="8"/>
      <c r="S579" s="8"/>
    </row>
    <row r="580" ht="15.75" customHeight="1">
      <c r="K580" s="8"/>
      <c r="L580" s="8"/>
      <c r="O580" s="8"/>
      <c r="Q580" s="8"/>
      <c r="R580" s="8"/>
      <c r="S580" s="8"/>
    </row>
    <row r="581" ht="15.75" customHeight="1">
      <c r="K581" s="8"/>
      <c r="L581" s="8"/>
      <c r="O581" s="8"/>
      <c r="Q581" s="8"/>
      <c r="R581" s="8"/>
      <c r="S581" s="8"/>
    </row>
    <row r="582" ht="15.75" customHeight="1">
      <c r="K582" s="8"/>
      <c r="L582" s="8"/>
      <c r="O582" s="8"/>
      <c r="Q582" s="8"/>
      <c r="R582" s="8"/>
      <c r="S582" s="8"/>
    </row>
    <row r="583" ht="15.75" customHeight="1">
      <c r="K583" s="8"/>
      <c r="L583" s="8"/>
      <c r="O583" s="8"/>
      <c r="Q583" s="8"/>
      <c r="R583" s="8"/>
      <c r="S583" s="8"/>
    </row>
    <row r="584" ht="15.75" customHeight="1">
      <c r="K584" s="8"/>
      <c r="L584" s="8"/>
      <c r="O584" s="8"/>
      <c r="Q584" s="8"/>
      <c r="R584" s="8"/>
      <c r="S584" s="8"/>
    </row>
    <row r="585" ht="15.75" customHeight="1">
      <c r="K585" s="8"/>
      <c r="L585" s="8"/>
      <c r="O585" s="8"/>
      <c r="Q585" s="8"/>
      <c r="R585" s="8"/>
      <c r="S585" s="8"/>
    </row>
    <row r="586" ht="15.75" customHeight="1">
      <c r="K586" s="8"/>
      <c r="L586" s="8"/>
      <c r="O586" s="8"/>
      <c r="Q586" s="8"/>
      <c r="R586" s="8"/>
      <c r="S586" s="8"/>
    </row>
    <row r="587" ht="15.75" customHeight="1">
      <c r="K587" s="8"/>
      <c r="L587" s="8"/>
      <c r="O587" s="8"/>
      <c r="Q587" s="8"/>
      <c r="R587" s="8"/>
      <c r="S587" s="8"/>
    </row>
    <row r="588" ht="15.75" customHeight="1">
      <c r="K588" s="8"/>
      <c r="L588" s="8"/>
      <c r="O588" s="8"/>
      <c r="Q588" s="8"/>
      <c r="R588" s="8"/>
      <c r="S588" s="8"/>
    </row>
    <row r="589" ht="15.75" customHeight="1">
      <c r="K589" s="8"/>
      <c r="L589" s="8"/>
      <c r="O589" s="8"/>
      <c r="Q589" s="8"/>
      <c r="R589" s="8"/>
      <c r="S589" s="8"/>
    </row>
    <row r="590" ht="15.75" customHeight="1">
      <c r="K590" s="8"/>
      <c r="L590" s="8"/>
      <c r="O590" s="8"/>
      <c r="Q590" s="8"/>
      <c r="R590" s="8"/>
      <c r="S590" s="8"/>
    </row>
    <row r="591" ht="15.75" customHeight="1">
      <c r="K591" s="8"/>
      <c r="L591" s="8"/>
      <c r="O591" s="8"/>
      <c r="Q591" s="8"/>
      <c r="R591" s="8"/>
      <c r="S591" s="8"/>
    </row>
    <row r="592" ht="15.75" customHeight="1">
      <c r="K592" s="8"/>
      <c r="L592" s="8"/>
      <c r="O592" s="8"/>
      <c r="Q592" s="8"/>
      <c r="R592" s="8"/>
      <c r="S592" s="8"/>
    </row>
    <row r="593" ht="15.75" customHeight="1">
      <c r="K593" s="8"/>
      <c r="L593" s="8"/>
      <c r="O593" s="8"/>
      <c r="Q593" s="8"/>
      <c r="R593" s="8"/>
      <c r="S593" s="8"/>
    </row>
    <row r="594" ht="15.75" customHeight="1">
      <c r="K594" s="8"/>
      <c r="L594" s="8"/>
      <c r="O594" s="8"/>
      <c r="Q594" s="8"/>
      <c r="R594" s="8"/>
      <c r="S594" s="8"/>
    </row>
    <row r="595" ht="15.75" customHeight="1">
      <c r="K595" s="8"/>
      <c r="L595" s="8"/>
      <c r="O595" s="8"/>
      <c r="Q595" s="8"/>
      <c r="R595" s="8"/>
      <c r="S595" s="8"/>
    </row>
    <row r="596" ht="15.75" customHeight="1">
      <c r="K596" s="8"/>
      <c r="L596" s="8"/>
      <c r="O596" s="8"/>
      <c r="Q596" s="8"/>
      <c r="R596" s="8"/>
      <c r="S596" s="8"/>
    </row>
    <row r="597" ht="15.75" customHeight="1">
      <c r="K597" s="8"/>
      <c r="L597" s="8"/>
      <c r="O597" s="8"/>
      <c r="Q597" s="8"/>
      <c r="R597" s="8"/>
      <c r="S597" s="8"/>
    </row>
    <row r="598" ht="15.75" customHeight="1">
      <c r="K598" s="8"/>
      <c r="L598" s="8"/>
      <c r="O598" s="8"/>
      <c r="Q598" s="8"/>
      <c r="R598" s="8"/>
      <c r="S598" s="8"/>
    </row>
    <row r="599" ht="15.75" customHeight="1">
      <c r="K599" s="8"/>
      <c r="L599" s="8"/>
      <c r="O599" s="8"/>
      <c r="Q599" s="8"/>
      <c r="R599" s="8"/>
      <c r="S599" s="8"/>
    </row>
    <row r="600" ht="15.75" customHeight="1">
      <c r="K600" s="8"/>
      <c r="L600" s="8"/>
      <c r="O600" s="8"/>
      <c r="Q600" s="8"/>
      <c r="R600" s="8"/>
      <c r="S600" s="8"/>
    </row>
    <row r="601" ht="15.75" customHeight="1">
      <c r="K601" s="8"/>
      <c r="L601" s="8"/>
      <c r="O601" s="8"/>
      <c r="Q601" s="8"/>
      <c r="R601" s="8"/>
      <c r="S601" s="8"/>
    </row>
    <row r="602" ht="15.75" customHeight="1">
      <c r="K602" s="8"/>
      <c r="L602" s="8"/>
      <c r="O602" s="8"/>
      <c r="Q602" s="8"/>
      <c r="R602" s="8"/>
      <c r="S602" s="8"/>
    </row>
    <row r="603" ht="15.75" customHeight="1">
      <c r="K603" s="8"/>
      <c r="L603" s="8"/>
      <c r="O603" s="8"/>
      <c r="Q603" s="8"/>
      <c r="R603" s="8"/>
      <c r="S603" s="8"/>
    </row>
    <row r="604" ht="15.75" customHeight="1">
      <c r="K604" s="8"/>
      <c r="L604" s="8"/>
      <c r="O604" s="8"/>
      <c r="Q604" s="8"/>
      <c r="R604" s="8"/>
      <c r="S604" s="8"/>
    </row>
    <row r="605" ht="15.75" customHeight="1">
      <c r="K605" s="8"/>
      <c r="L605" s="8"/>
      <c r="O605" s="8"/>
      <c r="Q605" s="8"/>
      <c r="R605" s="8"/>
      <c r="S605" s="8"/>
    </row>
    <row r="606" ht="15.75" customHeight="1">
      <c r="K606" s="8"/>
      <c r="L606" s="8"/>
      <c r="O606" s="8"/>
      <c r="Q606" s="8"/>
      <c r="R606" s="8"/>
      <c r="S606" s="8"/>
    </row>
    <row r="607" ht="15.75" customHeight="1">
      <c r="K607" s="8"/>
      <c r="L607" s="8"/>
      <c r="O607" s="8"/>
      <c r="Q607" s="8"/>
      <c r="R607" s="8"/>
      <c r="S607" s="8"/>
    </row>
    <row r="608" ht="15.75" customHeight="1">
      <c r="K608" s="8"/>
      <c r="L608" s="8"/>
      <c r="O608" s="8"/>
      <c r="Q608" s="8"/>
      <c r="R608" s="8"/>
      <c r="S608" s="8"/>
    </row>
    <row r="609" ht="15.75" customHeight="1">
      <c r="K609" s="8"/>
      <c r="L609" s="8"/>
      <c r="O609" s="8"/>
      <c r="Q609" s="8"/>
      <c r="R609" s="8"/>
      <c r="S609" s="8"/>
    </row>
    <row r="610" ht="15.75" customHeight="1">
      <c r="K610" s="8"/>
      <c r="L610" s="8"/>
      <c r="O610" s="8"/>
      <c r="Q610" s="8"/>
      <c r="R610" s="8"/>
      <c r="S610" s="8"/>
    </row>
    <row r="611" ht="15.75" customHeight="1">
      <c r="K611" s="8"/>
      <c r="L611" s="8"/>
      <c r="O611" s="8"/>
      <c r="Q611" s="8"/>
      <c r="R611" s="8"/>
      <c r="S611" s="8"/>
    </row>
    <row r="612" ht="15.75" customHeight="1">
      <c r="K612" s="8"/>
      <c r="L612" s="8"/>
      <c r="O612" s="8"/>
      <c r="Q612" s="8"/>
      <c r="R612" s="8"/>
      <c r="S612" s="8"/>
    </row>
    <row r="613" ht="15.75" customHeight="1">
      <c r="K613" s="8"/>
      <c r="L613" s="8"/>
      <c r="O613" s="8"/>
      <c r="Q613" s="8"/>
      <c r="R613" s="8"/>
      <c r="S613" s="8"/>
    </row>
    <row r="614" ht="15.75" customHeight="1">
      <c r="K614" s="8"/>
      <c r="L614" s="8"/>
      <c r="O614" s="8"/>
      <c r="Q614" s="8"/>
      <c r="R614" s="8"/>
      <c r="S614" s="8"/>
    </row>
    <row r="615" ht="15.75" customHeight="1">
      <c r="K615" s="8"/>
      <c r="L615" s="8"/>
      <c r="O615" s="8"/>
      <c r="Q615" s="8"/>
      <c r="R615" s="8"/>
      <c r="S615" s="8"/>
    </row>
    <row r="616" ht="15.75" customHeight="1">
      <c r="K616" s="8"/>
      <c r="L616" s="8"/>
      <c r="O616" s="8"/>
      <c r="Q616" s="8"/>
      <c r="R616" s="8"/>
      <c r="S616" s="8"/>
    </row>
    <row r="617" ht="15.75" customHeight="1">
      <c r="K617" s="8"/>
      <c r="L617" s="8"/>
      <c r="O617" s="8"/>
      <c r="Q617" s="8"/>
      <c r="R617" s="8"/>
      <c r="S617" s="8"/>
    </row>
    <row r="618" ht="15.75" customHeight="1">
      <c r="K618" s="8"/>
      <c r="L618" s="8"/>
      <c r="O618" s="8"/>
      <c r="Q618" s="8"/>
      <c r="R618" s="8"/>
      <c r="S618" s="8"/>
    </row>
    <row r="619" ht="15.75" customHeight="1">
      <c r="K619" s="8"/>
      <c r="L619" s="8"/>
      <c r="O619" s="8"/>
      <c r="Q619" s="8"/>
      <c r="R619" s="8"/>
      <c r="S619" s="8"/>
    </row>
    <row r="620" ht="15.75" customHeight="1">
      <c r="K620" s="8"/>
      <c r="L620" s="8"/>
      <c r="O620" s="8"/>
      <c r="Q620" s="8"/>
      <c r="R620" s="8"/>
      <c r="S620" s="8"/>
    </row>
    <row r="621" ht="15.75" customHeight="1">
      <c r="K621" s="8"/>
      <c r="L621" s="8"/>
      <c r="O621" s="8"/>
      <c r="Q621" s="8"/>
      <c r="R621" s="8"/>
      <c r="S621" s="8"/>
    </row>
    <row r="622" ht="15.75" customHeight="1">
      <c r="K622" s="8"/>
      <c r="L622" s="8"/>
      <c r="O622" s="8"/>
      <c r="Q622" s="8"/>
      <c r="R622" s="8"/>
      <c r="S622" s="8"/>
    </row>
    <row r="623" ht="15.75" customHeight="1">
      <c r="K623" s="8"/>
      <c r="L623" s="8"/>
      <c r="O623" s="8"/>
      <c r="Q623" s="8"/>
      <c r="R623" s="8"/>
      <c r="S623" s="8"/>
    </row>
    <row r="624" ht="15.75" customHeight="1">
      <c r="K624" s="8"/>
      <c r="L624" s="8"/>
      <c r="O624" s="8"/>
      <c r="Q624" s="8"/>
      <c r="R624" s="8"/>
      <c r="S624" s="8"/>
    </row>
    <row r="625" ht="15.75" customHeight="1">
      <c r="K625" s="8"/>
      <c r="L625" s="8"/>
      <c r="O625" s="8"/>
      <c r="Q625" s="8"/>
      <c r="R625" s="8"/>
      <c r="S625" s="8"/>
    </row>
    <row r="626" ht="15.75" customHeight="1">
      <c r="K626" s="8"/>
      <c r="L626" s="8"/>
      <c r="O626" s="8"/>
      <c r="Q626" s="8"/>
      <c r="R626" s="8"/>
      <c r="S626" s="8"/>
    </row>
    <row r="627" ht="15.75" customHeight="1">
      <c r="K627" s="8"/>
      <c r="L627" s="8"/>
      <c r="O627" s="8"/>
      <c r="Q627" s="8"/>
      <c r="R627" s="8"/>
      <c r="S627" s="8"/>
    </row>
    <row r="628" ht="15.75" customHeight="1">
      <c r="K628" s="8"/>
      <c r="L628" s="8"/>
      <c r="O628" s="8"/>
      <c r="Q628" s="8"/>
      <c r="R628" s="8"/>
      <c r="S628" s="8"/>
    </row>
    <row r="629" ht="15.75" customHeight="1">
      <c r="K629" s="8"/>
      <c r="L629" s="8"/>
      <c r="O629" s="8"/>
      <c r="Q629" s="8"/>
      <c r="R629" s="8"/>
      <c r="S629" s="8"/>
    </row>
    <row r="630" ht="15.75" customHeight="1">
      <c r="K630" s="8"/>
      <c r="L630" s="8"/>
      <c r="O630" s="8"/>
      <c r="Q630" s="8"/>
      <c r="R630" s="8"/>
      <c r="S630" s="8"/>
    </row>
    <row r="631" ht="15.75" customHeight="1">
      <c r="K631" s="8"/>
      <c r="L631" s="8"/>
      <c r="O631" s="8"/>
      <c r="Q631" s="8"/>
      <c r="R631" s="8"/>
      <c r="S631" s="8"/>
    </row>
    <row r="632" ht="15.75" customHeight="1">
      <c r="K632" s="8"/>
      <c r="L632" s="8"/>
      <c r="O632" s="8"/>
      <c r="Q632" s="8"/>
      <c r="R632" s="8"/>
      <c r="S632" s="8"/>
    </row>
    <row r="633" ht="15.75" customHeight="1">
      <c r="K633" s="8"/>
      <c r="L633" s="8"/>
      <c r="O633" s="8"/>
      <c r="Q633" s="8"/>
      <c r="R633" s="8"/>
      <c r="S633" s="8"/>
    </row>
    <row r="634" ht="15.75" customHeight="1">
      <c r="K634" s="8"/>
      <c r="L634" s="8"/>
      <c r="O634" s="8"/>
      <c r="Q634" s="8"/>
      <c r="R634" s="8"/>
      <c r="S634" s="8"/>
    </row>
    <row r="635" ht="15.75" customHeight="1">
      <c r="K635" s="8"/>
      <c r="L635" s="8"/>
      <c r="O635" s="8"/>
      <c r="Q635" s="8"/>
      <c r="R635" s="8"/>
      <c r="S635" s="8"/>
    </row>
    <row r="636" ht="15.75" customHeight="1">
      <c r="K636" s="8"/>
      <c r="L636" s="8"/>
      <c r="O636" s="8"/>
      <c r="Q636" s="8"/>
      <c r="R636" s="8"/>
      <c r="S636" s="8"/>
    </row>
    <row r="637" ht="15.75" customHeight="1">
      <c r="K637" s="8"/>
      <c r="L637" s="8"/>
      <c r="O637" s="8"/>
      <c r="Q637" s="8"/>
      <c r="R637" s="8"/>
      <c r="S637" s="8"/>
    </row>
    <row r="638" ht="15.75" customHeight="1">
      <c r="K638" s="8"/>
      <c r="L638" s="8"/>
      <c r="O638" s="8"/>
      <c r="Q638" s="8"/>
      <c r="R638" s="8"/>
      <c r="S638" s="8"/>
    </row>
    <row r="639" ht="15.75" customHeight="1">
      <c r="K639" s="8"/>
      <c r="L639" s="8"/>
      <c r="O639" s="8"/>
      <c r="Q639" s="8"/>
      <c r="R639" s="8"/>
      <c r="S639" s="8"/>
    </row>
    <row r="640" ht="15.75" customHeight="1">
      <c r="K640" s="8"/>
      <c r="L640" s="8"/>
      <c r="O640" s="8"/>
      <c r="Q640" s="8"/>
      <c r="R640" s="8"/>
      <c r="S640" s="8"/>
    </row>
    <row r="641" ht="15.75" customHeight="1">
      <c r="K641" s="8"/>
      <c r="L641" s="8"/>
      <c r="O641" s="8"/>
      <c r="Q641" s="8"/>
      <c r="R641" s="8"/>
      <c r="S641" s="8"/>
    </row>
    <row r="642" ht="15.75" customHeight="1">
      <c r="K642" s="8"/>
      <c r="L642" s="8"/>
      <c r="O642" s="8"/>
      <c r="Q642" s="8"/>
      <c r="R642" s="8"/>
      <c r="S642" s="8"/>
    </row>
    <row r="643" ht="15.75" customHeight="1">
      <c r="K643" s="8"/>
      <c r="L643" s="8"/>
      <c r="O643" s="8"/>
      <c r="Q643" s="8"/>
      <c r="R643" s="8"/>
      <c r="S643" s="8"/>
    </row>
    <row r="644" ht="15.75" customHeight="1">
      <c r="K644" s="8"/>
      <c r="L644" s="8"/>
      <c r="O644" s="8"/>
      <c r="Q644" s="8"/>
      <c r="R644" s="8"/>
      <c r="S644" s="8"/>
    </row>
    <row r="645" ht="15.75" customHeight="1">
      <c r="K645" s="8"/>
      <c r="L645" s="8"/>
      <c r="O645" s="8"/>
      <c r="Q645" s="8"/>
      <c r="R645" s="8"/>
      <c r="S645" s="8"/>
    </row>
    <row r="646" ht="15.75" customHeight="1">
      <c r="K646" s="8"/>
      <c r="L646" s="8"/>
      <c r="O646" s="8"/>
      <c r="Q646" s="8"/>
      <c r="R646" s="8"/>
      <c r="S646" s="8"/>
    </row>
    <row r="647" ht="15.75" customHeight="1">
      <c r="K647" s="8"/>
      <c r="L647" s="8"/>
      <c r="O647" s="8"/>
      <c r="Q647" s="8"/>
      <c r="R647" s="8"/>
      <c r="S647" s="8"/>
    </row>
    <row r="648" ht="15.75" customHeight="1">
      <c r="K648" s="8"/>
      <c r="L648" s="8"/>
      <c r="O648" s="8"/>
      <c r="Q648" s="8"/>
      <c r="R648" s="8"/>
      <c r="S648" s="8"/>
    </row>
    <row r="649" ht="15.75" customHeight="1">
      <c r="K649" s="8"/>
      <c r="L649" s="8"/>
      <c r="O649" s="8"/>
      <c r="Q649" s="8"/>
      <c r="R649" s="8"/>
      <c r="S649" s="8"/>
    </row>
    <row r="650" ht="15.75" customHeight="1">
      <c r="K650" s="8"/>
      <c r="L650" s="8"/>
      <c r="O650" s="8"/>
      <c r="Q650" s="8"/>
      <c r="R650" s="8"/>
      <c r="S650" s="8"/>
    </row>
    <row r="651" ht="15.75" customHeight="1">
      <c r="K651" s="8"/>
      <c r="L651" s="8"/>
      <c r="O651" s="8"/>
      <c r="Q651" s="8"/>
      <c r="R651" s="8"/>
      <c r="S651" s="8"/>
    </row>
    <row r="652" ht="15.75" customHeight="1">
      <c r="K652" s="8"/>
      <c r="L652" s="8"/>
      <c r="O652" s="8"/>
      <c r="Q652" s="8"/>
      <c r="R652" s="8"/>
      <c r="S652" s="8"/>
    </row>
    <row r="653" ht="15.75" customHeight="1">
      <c r="K653" s="8"/>
      <c r="L653" s="8"/>
      <c r="O653" s="8"/>
      <c r="Q653" s="8"/>
      <c r="R653" s="8"/>
      <c r="S653" s="8"/>
    </row>
    <row r="654" ht="15.75" customHeight="1">
      <c r="K654" s="8"/>
      <c r="L654" s="8"/>
      <c r="O654" s="8"/>
      <c r="Q654" s="8"/>
      <c r="R654" s="8"/>
      <c r="S654" s="8"/>
    </row>
    <row r="655" ht="15.75" customHeight="1">
      <c r="K655" s="8"/>
      <c r="L655" s="8"/>
      <c r="O655" s="8"/>
      <c r="Q655" s="8"/>
      <c r="R655" s="8"/>
      <c r="S655" s="8"/>
    </row>
    <row r="656" ht="15.75" customHeight="1">
      <c r="K656" s="8"/>
      <c r="L656" s="8"/>
      <c r="O656" s="8"/>
      <c r="Q656" s="8"/>
      <c r="R656" s="8"/>
      <c r="S656" s="8"/>
    </row>
    <row r="657" ht="15.75" customHeight="1">
      <c r="K657" s="8"/>
      <c r="L657" s="8"/>
      <c r="O657" s="8"/>
      <c r="Q657" s="8"/>
      <c r="R657" s="8"/>
      <c r="S657" s="8"/>
    </row>
    <row r="658" ht="15.75" customHeight="1">
      <c r="K658" s="8"/>
      <c r="L658" s="8"/>
      <c r="O658" s="8"/>
      <c r="Q658" s="8"/>
      <c r="R658" s="8"/>
      <c r="S658" s="8"/>
    </row>
    <row r="659" ht="15.75" customHeight="1">
      <c r="K659" s="8"/>
      <c r="L659" s="8"/>
      <c r="O659" s="8"/>
      <c r="Q659" s="8"/>
      <c r="R659" s="8"/>
      <c r="S659" s="8"/>
    </row>
    <row r="660" ht="15.75" customHeight="1">
      <c r="K660" s="8"/>
      <c r="L660" s="8"/>
      <c r="O660" s="8"/>
      <c r="Q660" s="8"/>
      <c r="R660" s="8"/>
      <c r="S660" s="8"/>
    </row>
    <row r="661" ht="15.75" customHeight="1">
      <c r="K661" s="8"/>
      <c r="L661" s="8"/>
      <c r="O661" s="8"/>
      <c r="Q661" s="8"/>
      <c r="R661" s="8"/>
      <c r="S661" s="8"/>
    </row>
    <row r="662" ht="15.75" customHeight="1">
      <c r="K662" s="8"/>
      <c r="L662" s="8"/>
      <c r="O662" s="8"/>
      <c r="Q662" s="8"/>
      <c r="R662" s="8"/>
      <c r="S662" s="8"/>
    </row>
    <row r="663" ht="15.75" customHeight="1">
      <c r="K663" s="8"/>
      <c r="L663" s="8"/>
      <c r="O663" s="8"/>
      <c r="Q663" s="8"/>
      <c r="R663" s="8"/>
      <c r="S663" s="8"/>
    </row>
    <row r="664" ht="15.75" customHeight="1">
      <c r="K664" s="8"/>
      <c r="L664" s="8"/>
      <c r="O664" s="8"/>
      <c r="Q664" s="8"/>
      <c r="R664" s="8"/>
      <c r="S664" s="8"/>
    </row>
    <row r="665" ht="15.75" customHeight="1">
      <c r="K665" s="8"/>
      <c r="L665" s="8"/>
      <c r="O665" s="8"/>
      <c r="Q665" s="8"/>
      <c r="R665" s="8"/>
      <c r="S665" s="8"/>
    </row>
    <row r="666" ht="15.75" customHeight="1">
      <c r="K666" s="8"/>
      <c r="L666" s="8"/>
      <c r="O666" s="8"/>
      <c r="Q666" s="8"/>
      <c r="R666" s="8"/>
      <c r="S666" s="8"/>
    </row>
    <row r="667" ht="15.75" customHeight="1">
      <c r="K667" s="8"/>
      <c r="L667" s="8"/>
      <c r="O667" s="8"/>
      <c r="Q667" s="8"/>
      <c r="R667" s="8"/>
      <c r="S667" s="8"/>
    </row>
    <row r="668" ht="15.75" customHeight="1">
      <c r="K668" s="8"/>
      <c r="L668" s="8"/>
      <c r="O668" s="8"/>
      <c r="Q668" s="8"/>
      <c r="R668" s="8"/>
      <c r="S668" s="8"/>
    </row>
    <row r="669" ht="15.75" customHeight="1">
      <c r="K669" s="8"/>
      <c r="L669" s="8"/>
      <c r="O669" s="8"/>
      <c r="Q669" s="8"/>
      <c r="R669" s="8"/>
      <c r="S669" s="8"/>
    </row>
    <row r="670" ht="15.75" customHeight="1">
      <c r="K670" s="8"/>
      <c r="L670" s="8"/>
      <c r="O670" s="8"/>
      <c r="Q670" s="8"/>
      <c r="R670" s="8"/>
      <c r="S670" s="8"/>
    </row>
    <row r="671" ht="15.75" customHeight="1">
      <c r="K671" s="8"/>
      <c r="L671" s="8"/>
      <c r="O671" s="8"/>
      <c r="Q671" s="8"/>
      <c r="R671" s="8"/>
      <c r="S671" s="8"/>
    </row>
    <row r="672" ht="15.75" customHeight="1">
      <c r="K672" s="8"/>
      <c r="L672" s="8"/>
      <c r="O672" s="8"/>
      <c r="Q672" s="8"/>
      <c r="R672" s="8"/>
      <c r="S672" s="8"/>
    </row>
    <row r="673" ht="15.75" customHeight="1">
      <c r="K673" s="8"/>
      <c r="L673" s="8"/>
      <c r="O673" s="8"/>
      <c r="Q673" s="8"/>
      <c r="R673" s="8"/>
      <c r="S673" s="8"/>
    </row>
    <row r="674" ht="15.75" customHeight="1">
      <c r="K674" s="8"/>
      <c r="L674" s="8"/>
      <c r="O674" s="8"/>
      <c r="Q674" s="8"/>
      <c r="R674" s="8"/>
      <c r="S674" s="8"/>
    </row>
    <row r="675" ht="15.75" customHeight="1">
      <c r="K675" s="8"/>
      <c r="L675" s="8"/>
      <c r="O675" s="8"/>
      <c r="Q675" s="8"/>
      <c r="R675" s="8"/>
      <c r="S675" s="8"/>
    </row>
    <row r="676" ht="15.75" customHeight="1">
      <c r="K676" s="8"/>
      <c r="L676" s="8"/>
      <c r="O676" s="8"/>
      <c r="Q676" s="8"/>
      <c r="R676" s="8"/>
      <c r="S676" s="8"/>
    </row>
    <row r="677" ht="15.75" customHeight="1">
      <c r="K677" s="8"/>
      <c r="L677" s="8"/>
      <c r="O677" s="8"/>
      <c r="Q677" s="8"/>
      <c r="R677" s="8"/>
      <c r="S677" s="8"/>
    </row>
    <row r="678" ht="15.75" customHeight="1">
      <c r="K678" s="8"/>
      <c r="L678" s="8"/>
      <c r="O678" s="8"/>
      <c r="Q678" s="8"/>
      <c r="R678" s="8"/>
      <c r="S678" s="8"/>
    </row>
    <row r="679" ht="15.75" customHeight="1">
      <c r="K679" s="8"/>
      <c r="L679" s="8"/>
      <c r="O679" s="8"/>
      <c r="Q679" s="8"/>
      <c r="R679" s="8"/>
      <c r="S679" s="8"/>
    </row>
    <row r="680" ht="15.75" customHeight="1">
      <c r="K680" s="8"/>
      <c r="L680" s="8"/>
      <c r="O680" s="8"/>
      <c r="Q680" s="8"/>
      <c r="R680" s="8"/>
      <c r="S680" s="8"/>
    </row>
    <row r="681" ht="15.75" customHeight="1">
      <c r="K681" s="8"/>
      <c r="L681" s="8"/>
      <c r="O681" s="8"/>
      <c r="Q681" s="8"/>
      <c r="R681" s="8"/>
      <c r="S681" s="8"/>
    </row>
    <row r="682" ht="15.75" customHeight="1">
      <c r="K682" s="8"/>
      <c r="L682" s="8"/>
      <c r="O682" s="8"/>
      <c r="Q682" s="8"/>
      <c r="R682" s="8"/>
      <c r="S682" s="8"/>
    </row>
    <row r="683" ht="15.75" customHeight="1">
      <c r="K683" s="8"/>
      <c r="L683" s="8"/>
      <c r="O683" s="8"/>
      <c r="Q683" s="8"/>
      <c r="R683" s="8"/>
      <c r="S683" s="8"/>
    </row>
    <row r="684" ht="15.75" customHeight="1">
      <c r="K684" s="8"/>
      <c r="L684" s="8"/>
      <c r="O684" s="8"/>
      <c r="Q684" s="8"/>
      <c r="R684" s="8"/>
      <c r="S684" s="8"/>
    </row>
    <row r="685" ht="15.75" customHeight="1">
      <c r="K685" s="8"/>
      <c r="L685" s="8"/>
      <c r="O685" s="8"/>
      <c r="Q685" s="8"/>
      <c r="R685" s="8"/>
      <c r="S685" s="8"/>
    </row>
    <row r="686" ht="15.75" customHeight="1">
      <c r="K686" s="8"/>
      <c r="L686" s="8"/>
      <c r="O686" s="8"/>
      <c r="Q686" s="8"/>
      <c r="R686" s="8"/>
      <c r="S686" s="8"/>
    </row>
    <row r="687" ht="15.75" customHeight="1">
      <c r="K687" s="8"/>
      <c r="L687" s="8"/>
      <c r="O687" s="8"/>
      <c r="Q687" s="8"/>
      <c r="R687" s="8"/>
      <c r="S687" s="8"/>
    </row>
    <row r="688" ht="15.75" customHeight="1">
      <c r="K688" s="8"/>
      <c r="L688" s="8"/>
      <c r="O688" s="8"/>
      <c r="Q688" s="8"/>
      <c r="R688" s="8"/>
      <c r="S688" s="8"/>
    </row>
    <row r="689" ht="15.75" customHeight="1">
      <c r="K689" s="8"/>
      <c r="L689" s="8"/>
      <c r="O689" s="8"/>
      <c r="Q689" s="8"/>
      <c r="R689" s="8"/>
      <c r="S689" s="8"/>
    </row>
    <row r="690" ht="15.75" customHeight="1">
      <c r="K690" s="8"/>
      <c r="L690" s="8"/>
      <c r="O690" s="8"/>
      <c r="Q690" s="8"/>
      <c r="R690" s="8"/>
      <c r="S690" s="8"/>
    </row>
    <row r="691" ht="15.75" customHeight="1">
      <c r="K691" s="8"/>
      <c r="L691" s="8"/>
      <c r="O691" s="8"/>
      <c r="Q691" s="8"/>
      <c r="R691" s="8"/>
      <c r="S691" s="8"/>
    </row>
    <row r="692" ht="15.75" customHeight="1">
      <c r="K692" s="8"/>
      <c r="L692" s="8"/>
      <c r="O692" s="8"/>
      <c r="Q692" s="8"/>
      <c r="R692" s="8"/>
      <c r="S692" s="8"/>
    </row>
    <row r="693" ht="15.75" customHeight="1">
      <c r="K693" s="8"/>
      <c r="L693" s="8"/>
      <c r="O693" s="8"/>
      <c r="Q693" s="8"/>
      <c r="R693" s="8"/>
      <c r="S693" s="8"/>
    </row>
    <row r="694" ht="15.75" customHeight="1">
      <c r="K694" s="8"/>
      <c r="L694" s="8"/>
      <c r="O694" s="8"/>
      <c r="Q694" s="8"/>
      <c r="R694" s="8"/>
      <c r="S694" s="8"/>
    </row>
    <row r="695" ht="15.75" customHeight="1">
      <c r="K695" s="8"/>
      <c r="L695" s="8"/>
      <c r="O695" s="8"/>
      <c r="Q695" s="8"/>
      <c r="R695" s="8"/>
      <c r="S695" s="8"/>
    </row>
    <row r="696" ht="15.75" customHeight="1">
      <c r="K696" s="8"/>
      <c r="L696" s="8"/>
      <c r="O696" s="8"/>
      <c r="Q696" s="8"/>
      <c r="R696" s="8"/>
      <c r="S696" s="8"/>
    </row>
    <row r="697" ht="15.75" customHeight="1">
      <c r="K697" s="8"/>
      <c r="L697" s="8"/>
      <c r="O697" s="8"/>
      <c r="Q697" s="8"/>
      <c r="R697" s="8"/>
      <c r="S697" s="8"/>
    </row>
    <row r="698" ht="15.75" customHeight="1">
      <c r="K698" s="8"/>
      <c r="L698" s="8"/>
      <c r="O698" s="8"/>
      <c r="Q698" s="8"/>
      <c r="R698" s="8"/>
      <c r="S698" s="8"/>
    </row>
    <row r="699" ht="15.75" customHeight="1">
      <c r="K699" s="8"/>
      <c r="L699" s="8"/>
      <c r="O699" s="8"/>
      <c r="Q699" s="8"/>
      <c r="R699" s="8"/>
      <c r="S699" s="8"/>
    </row>
    <row r="700" ht="15.75" customHeight="1">
      <c r="K700" s="8"/>
      <c r="L700" s="8"/>
      <c r="O700" s="8"/>
      <c r="Q700" s="8"/>
      <c r="R700" s="8"/>
      <c r="S700" s="8"/>
    </row>
    <row r="701" ht="15.75" customHeight="1">
      <c r="K701" s="8"/>
      <c r="L701" s="8"/>
      <c r="O701" s="8"/>
      <c r="Q701" s="8"/>
      <c r="R701" s="8"/>
      <c r="S701" s="8"/>
    </row>
    <row r="702" ht="15.75" customHeight="1">
      <c r="K702" s="8"/>
      <c r="L702" s="8"/>
      <c r="O702" s="8"/>
      <c r="Q702" s="8"/>
      <c r="R702" s="8"/>
      <c r="S702" s="8"/>
    </row>
    <row r="703" ht="15.75" customHeight="1">
      <c r="K703" s="8"/>
      <c r="L703" s="8"/>
      <c r="O703" s="8"/>
      <c r="Q703" s="8"/>
      <c r="R703" s="8"/>
      <c r="S703" s="8"/>
    </row>
    <row r="704" ht="15.75" customHeight="1">
      <c r="K704" s="8"/>
      <c r="L704" s="8"/>
      <c r="O704" s="8"/>
      <c r="Q704" s="8"/>
      <c r="R704" s="8"/>
      <c r="S704" s="8"/>
    </row>
    <row r="705" ht="15.75" customHeight="1">
      <c r="K705" s="8"/>
      <c r="L705" s="8"/>
      <c r="O705" s="8"/>
      <c r="Q705" s="8"/>
      <c r="R705" s="8"/>
      <c r="S705" s="8"/>
    </row>
    <row r="706" ht="15.75" customHeight="1">
      <c r="K706" s="8"/>
      <c r="L706" s="8"/>
      <c r="O706" s="8"/>
      <c r="Q706" s="8"/>
      <c r="R706" s="8"/>
      <c r="S706" s="8"/>
    </row>
    <row r="707" ht="15.75" customHeight="1">
      <c r="K707" s="8"/>
      <c r="L707" s="8"/>
      <c r="O707" s="8"/>
      <c r="Q707" s="8"/>
      <c r="R707" s="8"/>
      <c r="S707" s="8"/>
    </row>
    <row r="708" ht="15.75" customHeight="1">
      <c r="K708" s="8"/>
      <c r="L708" s="8"/>
      <c r="O708" s="8"/>
      <c r="Q708" s="8"/>
      <c r="R708" s="8"/>
      <c r="S708" s="8"/>
    </row>
    <row r="709" ht="15.75" customHeight="1">
      <c r="K709" s="8"/>
      <c r="L709" s="8"/>
      <c r="O709" s="8"/>
      <c r="Q709" s="8"/>
      <c r="R709" s="8"/>
      <c r="S709" s="8"/>
    </row>
    <row r="710" ht="15.75" customHeight="1">
      <c r="K710" s="8"/>
      <c r="L710" s="8"/>
      <c r="O710" s="8"/>
      <c r="Q710" s="8"/>
      <c r="R710" s="8"/>
      <c r="S710" s="8"/>
    </row>
    <row r="711" ht="15.75" customHeight="1">
      <c r="K711" s="8"/>
      <c r="L711" s="8"/>
      <c r="O711" s="8"/>
      <c r="Q711" s="8"/>
      <c r="R711" s="8"/>
      <c r="S711" s="8"/>
    </row>
    <row r="712" ht="15.75" customHeight="1">
      <c r="K712" s="8"/>
      <c r="L712" s="8"/>
      <c r="O712" s="8"/>
      <c r="Q712" s="8"/>
      <c r="R712" s="8"/>
      <c r="S712" s="8"/>
    </row>
    <row r="713" ht="15.75" customHeight="1">
      <c r="K713" s="8"/>
      <c r="L713" s="8"/>
      <c r="O713" s="8"/>
      <c r="Q713" s="8"/>
      <c r="R713" s="8"/>
      <c r="S713" s="8"/>
    </row>
    <row r="714" ht="15.75" customHeight="1">
      <c r="K714" s="8"/>
      <c r="L714" s="8"/>
      <c r="O714" s="8"/>
      <c r="Q714" s="8"/>
      <c r="R714" s="8"/>
      <c r="S714" s="8"/>
    </row>
    <row r="715" ht="15.75" customHeight="1">
      <c r="K715" s="8"/>
      <c r="L715" s="8"/>
      <c r="O715" s="8"/>
      <c r="Q715" s="8"/>
      <c r="R715" s="8"/>
      <c r="S715" s="8"/>
    </row>
    <row r="716" ht="15.75" customHeight="1">
      <c r="K716" s="8"/>
      <c r="L716" s="8"/>
      <c r="O716" s="8"/>
      <c r="Q716" s="8"/>
      <c r="R716" s="8"/>
      <c r="S716" s="8"/>
    </row>
    <row r="717" ht="15.75" customHeight="1">
      <c r="K717" s="8"/>
      <c r="L717" s="8"/>
      <c r="O717" s="8"/>
      <c r="Q717" s="8"/>
      <c r="R717" s="8"/>
      <c r="S717" s="8"/>
    </row>
    <row r="718" ht="15.75" customHeight="1">
      <c r="K718" s="8"/>
      <c r="L718" s="8"/>
      <c r="O718" s="8"/>
      <c r="Q718" s="8"/>
      <c r="R718" s="8"/>
      <c r="S718" s="8"/>
    </row>
    <row r="719" ht="15.75" customHeight="1">
      <c r="K719" s="8"/>
      <c r="L719" s="8"/>
      <c r="O719" s="8"/>
      <c r="Q719" s="8"/>
      <c r="R719" s="8"/>
      <c r="S719" s="8"/>
    </row>
    <row r="720" ht="15.75" customHeight="1">
      <c r="K720" s="8"/>
      <c r="L720" s="8"/>
      <c r="O720" s="8"/>
      <c r="Q720" s="8"/>
      <c r="R720" s="8"/>
      <c r="S720" s="8"/>
    </row>
    <row r="721" ht="15.75" customHeight="1">
      <c r="K721" s="8"/>
      <c r="L721" s="8"/>
      <c r="O721" s="8"/>
      <c r="Q721" s="8"/>
      <c r="R721" s="8"/>
      <c r="S721" s="8"/>
    </row>
    <row r="722" ht="15.75" customHeight="1">
      <c r="K722" s="8"/>
      <c r="L722" s="8"/>
      <c r="O722" s="8"/>
      <c r="Q722" s="8"/>
      <c r="R722" s="8"/>
      <c r="S722" s="8"/>
    </row>
    <row r="723" ht="15.75" customHeight="1">
      <c r="K723" s="8"/>
      <c r="L723" s="8"/>
      <c r="O723" s="8"/>
      <c r="Q723" s="8"/>
      <c r="R723" s="8"/>
      <c r="S723" s="8"/>
    </row>
    <row r="724" ht="15.75" customHeight="1">
      <c r="K724" s="8"/>
      <c r="L724" s="8"/>
      <c r="O724" s="8"/>
      <c r="Q724" s="8"/>
      <c r="R724" s="8"/>
      <c r="S724" s="8"/>
    </row>
    <row r="725" ht="15.75" customHeight="1">
      <c r="K725" s="8"/>
      <c r="L725" s="8"/>
      <c r="O725" s="8"/>
      <c r="Q725" s="8"/>
      <c r="R725" s="8"/>
      <c r="S725" s="8"/>
    </row>
    <row r="726" ht="15.75" customHeight="1">
      <c r="K726" s="8"/>
      <c r="L726" s="8"/>
      <c r="O726" s="8"/>
      <c r="Q726" s="8"/>
      <c r="R726" s="8"/>
      <c r="S726" s="8"/>
    </row>
    <row r="727" ht="15.75" customHeight="1">
      <c r="K727" s="8"/>
      <c r="L727" s="8"/>
      <c r="O727" s="8"/>
      <c r="Q727" s="8"/>
      <c r="R727" s="8"/>
      <c r="S727" s="8"/>
    </row>
    <row r="728" ht="15.75" customHeight="1">
      <c r="K728" s="8"/>
      <c r="L728" s="8"/>
      <c r="O728" s="8"/>
      <c r="Q728" s="8"/>
      <c r="R728" s="8"/>
      <c r="S728" s="8"/>
    </row>
    <row r="729" ht="15.75" customHeight="1">
      <c r="K729" s="8"/>
      <c r="L729" s="8"/>
      <c r="O729" s="8"/>
      <c r="Q729" s="8"/>
      <c r="R729" s="8"/>
      <c r="S729" s="8"/>
    </row>
    <row r="730" ht="15.75" customHeight="1">
      <c r="K730" s="8"/>
      <c r="L730" s="8"/>
      <c r="O730" s="8"/>
      <c r="Q730" s="8"/>
      <c r="R730" s="8"/>
      <c r="S730" s="8"/>
    </row>
    <row r="731" ht="15.75" customHeight="1">
      <c r="K731" s="8"/>
      <c r="L731" s="8"/>
      <c r="O731" s="8"/>
      <c r="Q731" s="8"/>
      <c r="R731" s="8"/>
      <c r="S731" s="8"/>
    </row>
    <row r="732" ht="15.75" customHeight="1">
      <c r="K732" s="8"/>
      <c r="L732" s="8"/>
      <c r="O732" s="8"/>
      <c r="Q732" s="8"/>
      <c r="R732" s="8"/>
      <c r="S732" s="8"/>
    </row>
    <row r="733" ht="15.75" customHeight="1">
      <c r="K733" s="8"/>
      <c r="L733" s="8"/>
      <c r="O733" s="8"/>
      <c r="Q733" s="8"/>
      <c r="R733" s="8"/>
      <c r="S733" s="8"/>
    </row>
    <row r="734" ht="15.75" customHeight="1">
      <c r="K734" s="8"/>
      <c r="L734" s="8"/>
      <c r="O734" s="8"/>
      <c r="Q734" s="8"/>
      <c r="R734" s="8"/>
      <c r="S734" s="8"/>
    </row>
    <row r="735" ht="15.75" customHeight="1">
      <c r="K735" s="8"/>
      <c r="L735" s="8"/>
      <c r="O735" s="8"/>
      <c r="Q735" s="8"/>
      <c r="R735" s="8"/>
      <c r="S735" s="8"/>
    </row>
    <row r="736" ht="15.75" customHeight="1">
      <c r="K736" s="8"/>
      <c r="L736" s="8"/>
      <c r="O736" s="8"/>
      <c r="Q736" s="8"/>
      <c r="R736" s="8"/>
      <c r="S736" s="8"/>
    </row>
    <row r="737" ht="15.75" customHeight="1">
      <c r="K737" s="8"/>
      <c r="L737" s="8"/>
      <c r="O737" s="8"/>
      <c r="Q737" s="8"/>
      <c r="R737" s="8"/>
      <c r="S737" s="8"/>
    </row>
    <row r="738" ht="15.75" customHeight="1">
      <c r="K738" s="8"/>
      <c r="L738" s="8"/>
      <c r="O738" s="8"/>
      <c r="Q738" s="8"/>
      <c r="R738" s="8"/>
      <c r="S738" s="8"/>
    </row>
    <row r="739" ht="15.75" customHeight="1">
      <c r="K739" s="8"/>
      <c r="L739" s="8"/>
      <c r="O739" s="8"/>
      <c r="Q739" s="8"/>
      <c r="R739" s="8"/>
      <c r="S739" s="8"/>
    </row>
    <row r="740" ht="15.75" customHeight="1">
      <c r="K740" s="8"/>
      <c r="L740" s="8"/>
      <c r="O740" s="8"/>
      <c r="Q740" s="8"/>
      <c r="R740" s="8"/>
      <c r="S740" s="8"/>
    </row>
    <row r="741" ht="15.75" customHeight="1">
      <c r="K741" s="8"/>
      <c r="L741" s="8"/>
      <c r="O741" s="8"/>
      <c r="Q741" s="8"/>
      <c r="R741" s="8"/>
      <c r="S741" s="8"/>
    </row>
    <row r="742" ht="15.75" customHeight="1">
      <c r="K742" s="8"/>
      <c r="L742" s="8"/>
      <c r="O742" s="8"/>
      <c r="Q742" s="8"/>
      <c r="R742" s="8"/>
      <c r="S742" s="8"/>
    </row>
    <row r="743" ht="15.75" customHeight="1">
      <c r="K743" s="8"/>
      <c r="L743" s="8"/>
      <c r="O743" s="8"/>
      <c r="Q743" s="8"/>
      <c r="R743" s="8"/>
      <c r="S743" s="8"/>
    </row>
    <row r="744" ht="15.75" customHeight="1">
      <c r="K744" s="8"/>
      <c r="L744" s="8"/>
      <c r="O744" s="8"/>
      <c r="Q744" s="8"/>
      <c r="R744" s="8"/>
      <c r="S744" s="8"/>
    </row>
    <row r="745" ht="15.75" customHeight="1">
      <c r="K745" s="8"/>
      <c r="L745" s="8"/>
      <c r="O745" s="8"/>
      <c r="Q745" s="8"/>
      <c r="R745" s="8"/>
      <c r="S745" s="8"/>
    </row>
    <row r="746" ht="15.75" customHeight="1">
      <c r="K746" s="8"/>
      <c r="L746" s="8"/>
      <c r="O746" s="8"/>
      <c r="Q746" s="8"/>
      <c r="R746" s="8"/>
      <c r="S746" s="8"/>
    </row>
    <row r="747" ht="15.75" customHeight="1">
      <c r="K747" s="8"/>
      <c r="L747" s="8"/>
      <c r="O747" s="8"/>
      <c r="Q747" s="8"/>
      <c r="R747" s="8"/>
      <c r="S747" s="8"/>
    </row>
    <row r="748" ht="15.75" customHeight="1">
      <c r="K748" s="8"/>
      <c r="L748" s="8"/>
      <c r="O748" s="8"/>
      <c r="Q748" s="8"/>
      <c r="R748" s="8"/>
      <c r="S748" s="8"/>
    </row>
    <row r="749" ht="15.75" customHeight="1">
      <c r="K749" s="8"/>
      <c r="L749" s="8"/>
      <c r="O749" s="8"/>
      <c r="Q749" s="8"/>
      <c r="R749" s="8"/>
      <c r="S749" s="8"/>
    </row>
    <row r="750" ht="15.75" customHeight="1">
      <c r="K750" s="8"/>
      <c r="L750" s="8"/>
      <c r="O750" s="8"/>
      <c r="Q750" s="8"/>
      <c r="R750" s="8"/>
      <c r="S750" s="8"/>
    </row>
    <row r="751" ht="15.75" customHeight="1">
      <c r="K751" s="8"/>
      <c r="L751" s="8"/>
      <c r="O751" s="8"/>
      <c r="Q751" s="8"/>
      <c r="R751" s="8"/>
      <c r="S751" s="8"/>
    </row>
    <row r="752" ht="15.75" customHeight="1">
      <c r="K752" s="8"/>
      <c r="L752" s="8"/>
      <c r="O752" s="8"/>
      <c r="Q752" s="8"/>
      <c r="R752" s="8"/>
      <c r="S752" s="8"/>
    </row>
    <row r="753" ht="15.75" customHeight="1">
      <c r="K753" s="8"/>
      <c r="L753" s="8"/>
      <c r="O753" s="8"/>
      <c r="Q753" s="8"/>
      <c r="R753" s="8"/>
      <c r="S753" s="8"/>
    </row>
    <row r="754" ht="15.75" customHeight="1">
      <c r="K754" s="8"/>
      <c r="L754" s="8"/>
      <c r="O754" s="8"/>
      <c r="Q754" s="8"/>
      <c r="R754" s="8"/>
      <c r="S754" s="8"/>
    </row>
    <row r="755" ht="15.75" customHeight="1">
      <c r="K755" s="8"/>
      <c r="L755" s="8"/>
      <c r="O755" s="8"/>
      <c r="Q755" s="8"/>
      <c r="R755" s="8"/>
      <c r="S755" s="8"/>
    </row>
    <row r="756" ht="15.75" customHeight="1">
      <c r="K756" s="8"/>
      <c r="L756" s="8"/>
      <c r="O756" s="8"/>
      <c r="Q756" s="8"/>
      <c r="R756" s="8"/>
      <c r="S756" s="8"/>
    </row>
    <row r="757" ht="15.75" customHeight="1">
      <c r="K757" s="8"/>
      <c r="L757" s="8"/>
      <c r="O757" s="8"/>
      <c r="Q757" s="8"/>
      <c r="R757" s="8"/>
      <c r="S757" s="8"/>
    </row>
    <row r="758" ht="15.75" customHeight="1">
      <c r="K758" s="8"/>
      <c r="L758" s="8"/>
      <c r="O758" s="8"/>
      <c r="Q758" s="8"/>
      <c r="R758" s="8"/>
      <c r="S758" s="8"/>
    </row>
    <row r="759" ht="15.75" customHeight="1">
      <c r="K759" s="8"/>
      <c r="L759" s="8"/>
      <c r="O759" s="8"/>
      <c r="Q759" s="8"/>
      <c r="R759" s="8"/>
      <c r="S759" s="8"/>
    </row>
    <row r="760" ht="15.75" customHeight="1">
      <c r="K760" s="8"/>
      <c r="L760" s="8"/>
      <c r="O760" s="8"/>
      <c r="Q760" s="8"/>
      <c r="R760" s="8"/>
      <c r="S760" s="8"/>
    </row>
    <row r="761" ht="15.75" customHeight="1">
      <c r="K761" s="8"/>
      <c r="L761" s="8"/>
      <c r="O761" s="8"/>
      <c r="Q761" s="8"/>
      <c r="R761" s="8"/>
      <c r="S761" s="8"/>
    </row>
    <row r="762" ht="15.75" customHeight="1">
      <c r="K762" s="8"/>
      <c r="L762" s="8"/>
      <c r="O762" s="8"/>
      <c r="Q762" s="8"/>
      <c r="R762" s="8"/>
      <c r="S762" s="8"/>
    </row>
    <row r="763" ht="15.75" customHeight="1">
      <c r="K763" s="8"/>
      <c r="L763" s="8"/>
      <c r="O763" s="8"/>
      <c r="Q763" s="8"/>
      <c r="R763" s="8"/>
      <c r="S763" s="8"/>
    </row>
    <row r="764" ht="15.75" customHeight="1">
      <c r="K764" s="8"/>
      <c r="L764" s="8"/>
      <c r="O764" s="8"/>
      <c r="Q764" s="8"/>
      <c r="R764" s="8"/>
      <c r="S764" s="8"/>
    </row>
    <row r="765" ht="15.75" customHeight="1">
      <c r="K765" s="8"/>
      <c r="L765" s="8"/>
      <c r="O765" s="8"/>
      <c r="Q765" s="8"/>
      <c r="R765" s="8"/>
      <c r="S765" s="8"/>
    </row>
    <row r="766" ht="15.75" customHeight="1">
      <c r="K766" s="8"/>
      <c r="L766" s="8"/>
      <c r="O766" s="8"/>
      <c r="Q766" s="8"/>
      <c r="R766" s="8"/>
      <c r="S766" s="8"/>
    </row>
    <row r="767" ht="15.75" customHeight="1">
      <c r="K767" s="8"/>
      <c r="L767" s="8"/>
      <c r="O767" s="8"/>
      <c r="Q767" s="8"/>
      <c r="R767" s="8"/>
      <c r="S767" s="8"/>
    </row>
    <row r="768" ht="15.75" customHeight="1">
      <c r="K768" s="8"/>
      <c r="L768" s="8"/>
      <c r="O768" s="8"/>
      <c r="Q768" s="8"/>
      <c r="R768" s="8"/>
      <c r="S768" s="8"/>
    </row>
    <row r="769" ht="15.75" customHeight="1">
      <c r="K769" s="8"/>
      <c r="L769" s="8"/>
      <c r="O769" s="8"/>
      <c r="Q769" s="8"/>
      <c r="R769" s="8"/>
      <c r="S769" s="8"/>
    </row>
    <row r="770" ht="15.75" customHeight="1">
      <c r="K770" s="8"/>
      <c r="L770" s="8"/>
      <c r="O770" s="8"/>
      <c r="Q770" s="8"/>
      <c r="R770" s="8"/>
      <c r="S770" s="8"/>
    </row>
    <row r="771" ht="15.75" customHeight="1">
      <c r="K771" s="8"/>
      <c r="L771" s="8"/>
      <c r="O771" s="8"/>
      <c r="Q771" s="8"/>
      <c r="R771" s="8"/>
      <c r="S771" s="8"/>
    </row>
    <row r="772" ht="15.75" customHeight="1">
      <c r="K772" s="8"/>
      <c r="L772" s="8"/>
      <c r="O772" s="8"/>
      <c r="Q772" s="8"/>
      <c r="R772" s="8"/>
      <c r="S772" s="8"/>
    </row>
    <row r="773" ht="15.75" customHeight="1">
      <c r="K773" s="8"/>
      <c r="L773" s="8"/>
      <c r="O773" s="8"/>
      <c r="Q773" s="8"/>
      <c r="R773" s="8"/>
      <c r="S773" s="8"/>
    </row>
    <row r="774" ht="15.75" customHeight="1">
      <c r="K774" s="8"/>
      <c r="L774" s="8"/>
      <c r="O774" s="8"/>
      <c r="Q774" s="8"/>
      <c r="R774" s="8"/>
      <c r="S774" s="8"/>
    </row>
    <row r="775" ht="15.75" customHeight="1">
      <c r="K775" s="8"/>
      <c r="L775" s="8"/>
      <c r="O775" s="8"/>
      <c r="Q775" s="8"/>
      <c r="R775" s="8"/>
      <c r="S775" s="8"/>
    </row>
    <row r="776" ht="15.75" customHeight="1">
      <c r="K776" s="8"/>
      <c r="L776" s="8"/>
      <c r="O776" s="8"/>
      <c r="Q776" s="8"/>
      <c r="R776" s="8"/>
      <c r="S776" s="8"/>
    </row>
    <row r="777" ht="15.75" customHeight="1">
      <c r="K777" s="8"/>
      <c r="L777" s="8"/>
      <c r="O777" s="8"/>
      <c r="Q777" s="8"/>
      <c r="R777" s="8"/>
      <c r="S777" s="8"/>
    </row>
    <row r="778" ht="15.75" customHeight="1">
      <c r="K778" s="8"/>
      <c r="L778" s="8"/>
      <c r="O778" s="8"/>
      <c r="Q778" s="8"/>
      <c r="R778" s="8"/>
      <c r="S778" s="8"/>
    </row>
    <row r="779" ht="15.75" customHeight="1">
      <c r="K779" s="8"/>
      <c r="L779" s="8"/>
      <c r="O779" s="8"/>
      <c r="Q779" s="8"/>
      <c r="R779" s="8"/>
      <c r="S779" s="8"/>
    </row>
    <row r="780" ht="15.75" customHeight="1">
      <c r="K780" s="8"/>
      <c r="L780" s="8"/>
      <c r="O780" s="8"/>
      <c r="Q780" s="8"/>
      <c r="R780" s="8"/>
      <c r="S780" s="8"/>
    </row>
    <row r="781" ht="15.75" customHeight="1">
      <c r="K781" s="8"/>
      <c r="L781" s="8"/>
      <c r="O781" s="8"/>
      <c r="Q781" s="8"/>
      <c r="R781" s="8"/>
      <c r="S781" s="8"/>
    </row>
    <row r="782" ht="15.75" customHeight="1">
      <c r="K782" s="8"/>
      <c r="L782" s="8"/>
      <c r="O782" s="8"/>
      <c r="Q782" s="8"/>
      <c r="R782" s="8"/>
      <c r="S782" s="8"/>
    </row>
    <row r="783" ht="15.75" customHeight="1">
      <c r="K783" s="8"/>
      <c r="L783" s="8"/>
      <c r="O783" s="8"/>
      <c r="Q783" s="8"/>
      <c r="R783" s="8"/>
      <c r="S783" s="8"/>
    </row>
    <row r="784" ht="15.75" customHeight="1">
      <c r="K784" s="8"/>
      <c r="L784" s="8"/>
      <c r="O784" s="8"/>
      <c r="Q784" s="8"/>
      <c r="R784" s="8"/>
      <c r="S784" s="8"/>
    </row>
    <row r="785" ht="15.75" customHeight="1">
      <c r="K785" s="8"/>
      <c r="L785" s="8"/>
      <c r="O785" s="8"/>
      <c r="Q785" s="8"/>
      <c r="R785" s="8"/>
      <c r="S785" s="8"/>
    </row>
    <row r="786" ht="15.75" customHeight="1">
      <c r="K786" s="8"/>
      <c r="L786" s="8"/>
      <c r="O786" s="8"/>
      <c r="Q786" s="8"/>
      <c r="R786" s="8"/>
      <c r="S786" s="8"/>
    </row>
    <row r="787" ht="15.75" customHeight="1">
      <c r="K787" s="8"/>
      <c r="L787" s="8"/>
      <c r="O787" s="8"/>
      <c r="Q787" s="8"/>
      <c r="R787" s="8"/>
      <c r="S787" s="8"/>
    </row>
    <row r="788" ht="15.75" customHeight="1">
      <c r="K788" s="8"/>
      <c r="L788" s="8"/>
      <c r="O788" s="8"/>
      <c r="Q788" s="8"/>
      <c r="R788" s="8"/>
      <c r="S788" s="8"/>
    </row>
    <row r="789" ht="15.75" customHeight="1">
      <c r="K789" s="8"/>
      <c r="L789" s="8"/>
      <c r="O789" s="8"/>
      <c r="Q789" s="8"/>
      <c r="R789" s="8"/>
      <c r="S789" s="8"/>
    </row>
    <row r="790" ht="15.75" customHeight="1">
      <c r="K790" s="8"/>
      <c r="L790" s="8"/>
      <c r="O790" s="8"/>
      <c r="Q790" s="8"/>
      <c r="R790" s="8"/>
      <c r="S790" s="8"/>
    </row>
    <row r="791" ht="15.75" customHeight="1">
      <c r="K791" s="8"/>
      <c r="L791" s="8"/>
      <c r="O791" s="8"/>
      <c r="Q791" s="8"/>
      <c r="R791" s="8"/>
      <c r="S791" s="8"/>
    </row>
    <row r="792" ht="15.75" customHeight="1">
      <c r="K792" s="8"/>
      <c r="L792" s="8"/>
      <c r="O792" s="8"/>
      <c r="Q792" s="8"/>
      <c r="R792" s="8"/>
      <c r="S792" s="8"/>
    </row>
    <row r="793" ht="15.75" customHeight="1">
      <c r="K793" s="8"/>
      <c r="L793" s="8"/>
      <c r="O793" s="8"/>
      <c r="Q793" s="8"/>
      <c r="R793" s="8"/>
      <c r="S793" s="8"/>
    </row>
    <row r="794" ht="15.75" customHeight="1">
      <c r="K794" s="8"/>
      <c r="L794" s="8"/>
      <c r="O794" s="8"/>
      <c r="Q794" s="8"/>
      <c r="R794" s="8"/>
      <c r="S794" s="8"/>
    </row>
    <row r="795" ht="15.75" customHeight="1">
      <c r="K795" s="8"/>
      <c r="L795" s="8"/>
      <c r="O795" s="8"/>
      <c r="Q795" s="8"/>
      <c r="R795" s="8"/>
      <c r="S795" s="8"/>
    </row>
    <row r="796" ht="15.75" customHeight="1">
      <c r="K796" s="8"/>
      <c r="L796" s="8"/>
      <c r="O796" s="8"/>
      <c r="Q796" s="8"/>
      <c r="R796" s="8"/>
      <c r="S796" s="8"/>
    </row>
    <row r="797" ht="15.75" customHeight="1">
      <c r="K797" s="8"/>
      <c r="L797" s="8"/>
      <c r="O797" s="8"/>
      <c r="Q797" s="8"/>
      <c r="R797" s="8"/>
      <c r="S797" s="8"/>
    </row>
    <row r="798" ht="15.75" customHeight="1">
      <c r="K798" s="8"/>
      <c r="L798" s="8"/>
      <c r="O798" s="8"/>
      <c r="Q798" s="8"/>
      <c r="R798" s="8"/>
      <c r="S798" s="8"/>
    </row>
    <row r="799" ht="15.75" customHeight="1">
      <c r="K799" s="8"/>
      <c r="L799" s="8"/>
      <c r="O799" s="8"/>
      <c r="Q799" s="8"/>
      <c r="R799" s="8"/>
      <c r="S799" s="8"/>
    </row>
    <row r="800" ht="15.75" customHeight="1">
      <c r="K800" s="8"/>
      <c r="L800" s="8"/>
      <c r="O800" s="8"/>
      <c r="Q800" s="8"/>
      <c r="R800" s="8"/>
      <c r="S800" s="8"/>
    </row>
    <row r="801" ht="15.75" customHeight="1">
      <c r="K801" s="8"/>
      <c r="L801" s="8"/>
      <c r="O801" s="8"/>
      <c r="Q801" s="8"/>
      <c r="R801" s="8"/>
      <c r="S801" s="8"/>
    </row>
    <row r="802" ht="15.75" customHeight="1">
      <c r="K802" s="8"/>
      <c r="L802" s="8"/>
      <c r="O802" s="8"/>
      <c r="Q802" s="8"/>
      <c r="R802" s="8"/>
      <c r="S802" s="8"/>
    </row>
    <row r="803" ht="15.75" customHeight="1">
      <c r="K803" s="8"/>
      <c r="L803" s="8"/>
      <c r="O803" s="8"/>
      <c r="Q803" s="8"/>
      <c r="R803" s="8"/>
      <c r="S803" s="8"/>
    </row>
    <row r="804" ht="15.75" customHeight="1">
      <c r="K804" s="8"/>
      <c r="L804" s="8"/>
      <c r="O804" s="8"/>
      <c r="Q804" s="8"/>
      <c r="R804" s="8"/>
      <c r="S804" s="8"/>
    </row>
    <row r="805" ht="15.75" customHeight="1">
      <c r="K805" s="8"/>
      <c r="L805" s="8"/>
      <c r="O805" s="8"/>
      <c r="Q805" s="8"/>
      <c r="R805" s="8"/>
      <c r="S805" s="8"/>
    </row>
    <row r="806" ht="15.75" customHeight="1">
      <c r="K806" s="8"/>
      <c r="L806" s="8"/>
      <c r="O806" s="8"/>
      <c r="Q806" s="8"/>
      <c r="R806" s="8"/>
      <c r="S806" s="8"/>
    </row>
    <row r="807" ht="15.75" customHeight="1">
      <c r="K807" s="8"/>
      <c r="L807" s="8"/>
      <c r="O807" s="8"/>
      <c r="Q807" s="8"/>
      <c r="R807" s="8"/>
      <c r="S807" s="8"/>
    </row>
    <row r="808" ht="15.75" customHeight="1">
      <c r="K808" s="8"/>
      <c r="L808" s="8"/>
      <c r="O808" s="8"/>
      <c r="Q808" s="8"/>
      <c r="R808" s="8"/>
      <c r="S808" s="8"/>
    </row>
    <row r="809" ht="15.75" customHeight="1">
      <c r="K809" s="8"/>
      <c r="L809" s="8"/>
      <c r="O809" s="8"/>
      <c r="Q809" s="8"/>
      <c r="R809" s="8"/>
      <c r="S809" s="8"/>
    </row>
    <row r="810" ht="15.75" customHeight="1">
      <c r="K810" s="8"/>
      <c r="L810" s="8"/>
      <c r="O810" s="8"/>
      <c r="Q810" s="8"/>
      <c r="R810" s="8"/>
      <c r="S810" s="8"/>
    </row>
    <row r="811" ht="15.75" customHeight="1">
      <c r="K811" s="8"/>
      <c r="L811" s="8"/>
      <c r="O811" s="8"/>
      <c r="Q811" s="8"/>
      <c r="R811" s="8"/>
      <c r="S811" s="8"/>
    </row>
    <row r="812" ht="15.75" customHeight="1">
      <c r="K812" s="8"/>
      <c r="L812" s="8"/>
      <c r="O812" s="8"/>
      <c r="Q812" s="8"/>
      <c r="R812" s="8"/>
      <c r="S812" s="8"/>
    </row>
    <row r="813" ht="15.75" customHeight="1">
      <c r="K813" s="8"/>
      <c r="L813" s="8"/>
      <c r="O813" s="8"/>
      <c r="Q813" s="8"/>
      <c r="R813" s="8"/>
      <c r="S813" s="8"/>
    </row>
    <row r="814" ht="15.75" customHeight="1">
      <c r="K814" s="8"/>
      <c r="L814" s="8"/>
      <c r="O814" s="8"/>
      <c r="Q814" s="8"/>
      <c r="R814" s="8"/>
      <c r="S814" s="8"/>
    </row>
    <row r="815" ht="15.75" customHeight="1">
      <c r="K815" s="8"/>
      <c r="L815" s="8"/>
      <c r="O815" s="8"/>
      <c r="Q815" s="8"/>
      <c r="R815" s="8"/>
      <c r="S815" s="8"/>
    </row>
    <row r="816" ht="15.75" customHeight="1">
      <c r="K816" s="8"/>
      <c r="L816" s="8"/>
      <c r="O816" s="8"/>
      <c r="Q816" s="8"/>
      <c r="R816" s="8"/>
      <c r="S816" s="8"/>
    </row>
    <row r="817" ht="15.75" customHeight="1">
      <c r="K817" s="8"/>
      <c r="L817" s="8"/>
      <c r="O817" s="8"/>
      <c r="Q817" s="8"/>
      <c r="R817" s="8"/>
      <c r="S817" s="8"/>
    </row>
    <row r="818" ht="15.75" customHeight="1">
      <c r="K818" s="8"/>
      <c r="L818" s="8"/>
      <c r="O818" s="8"/>
      <c r="Q818" s="8"/>
      <c r="R818" s="8"/>
      <c r="S818" s="8"/>
    </row>
    <row r="819" ht="15.75" customHeight="1">
      <c r="K819" s="8"/>
      <c r="L819" s="8"/>
      <c r="O819" s="8"/>
      <c r="Q819" s="8"/>
      <c r="R819" s="8"/>
      <c r="S819" s="8"/>
    </row>
    <row r="820" ht="15.75" customHeight="1">
      <c r="K820" s="8"/>
      <c r="L820" s="8"/>
      <c r="O820" s="8"/>
      <c r="Q820" s="8"/>
      <c r="R820" s="8"/>
      <c r="S820" s="8"/>
    </row>
    <row r="821" ht="15.75" customHeight="1">
      <c r="K821" s="8"/>
      <c r="L821" s="8"/>
      <c r="O821" s="8"/>
      <c r="Q821" s="8"/>
      <c r="R821" s="8"/>
      <c r="S821" s="8"/>
    </row>
    <row r="822" ht="15.75" customHeight="1">
      <c r="K822" s="8"/>
      <c r="L822" s="8"/>
      <c r="O822" s="8"/>
      <c r="Q822" s="8"/>
      <c r="R822" s="8"/>
      <c r="S822" s="8"/>
    </row>
    <row r="823" ht="15.75" customHeight="1">
      <c r="K823" s="8"/>
      <c r="L823" s="8"/>
      <c r="O823" s="8"/>
      <c r="Q823" s="8"/>
      <c r="R823" s="8"/>
      <c r="S823" s="8"/>
    </row>
    <row r="824" ht="15.75" customHeight="1">
      <c r="K824" s="8"/>
      <c r="L824" s="8"/>
      <c r="O824" s="8"/>
      <c r="Q824" s="8"/>
      <c r="R824" s="8"/>
      <c r="S824" s="8"/>
    </row>
    <row r="825" ht="15.75" customHeight="1">
      <c r="K825" s="8"/>
      <c r="L825" s="8"/>
      <c r="O825" s="8"/>
      <c r="Q825" s="8"/>
      <c r="R825" s="8"/>
      <c r="S825" s="8"/>
    </row>
    <row r="826" ht="15.75" customHeight="1">
      <c r="K826" s="8"/>
      <c r="L826" s="8"/>
      <c r="O826" s="8"/>
      <c r="Q826" s="8"/>
      <c r="R826" s="8"/>
      <c r="S826" s="8"/>
    </row>
    <row r="827" ht="15.75" customHeight="1">
      <c r="K827" s="8"/>
      <c r="L827" s="8"/>
      <c r="O827" s="8"/>
      <c r="Q827" s="8"/>
      <c r="R827" s="8"/>
      <c r="S827" s="8"/>
    </row>
    <row r="828" ht="15.75" customHeight="1">
      <c r="K828" s="8"/>
      <c r="L828" s="8"/>
      <c r="O828" s="8"/>
      <c r="Q828" s="8"/>
      <c r="R828" s="8"/>
      <c r="S828" s="8"/>
    </row>
    <row r="829" ht="15.75" customHeight="1">
      <c r="K829" s="8"/>
      <c r="L829" s="8"/>
      <c r="O829" s="8"/>
      <c r="Q829" s="8"/>
      <c r="R829" s="8"/>
      <c r="S829" s="8"/>
    </row>
    <row r="830" ht="15.75" customHeight="1">
      <c r="K830" s="8"/>
      <c r="L830" s="8"/>
      <c r="O830" s="8"/>
      <c r="Q830" s="8"/>
      <c r="R830" s="8"/>
      <c r="S830" s="8"/>
    </row>
    <row r="831" ht="15.75" customHeight="1">
      <c r="K831" s="8"/>
      <c r="L831" s="8"/>
      <c r="O831" s="8"/>
      <c r="Q831" s="8"/>
      <c r="R831" s="8"/>
      <c r="S831" s="8"/>
    </row>
    <row r="832" ht="15.75" customHeight="1">
      <c r="K832" s="8"/>
      <c r="L832" s="8"/>
      <c r="O832" s="8"/>
      <c r="Q832" s="8"/>
      <c r="R832" s="8"/>
      <c r="S832" s="8"/>
    </row>
    <row r="833" ht="15.75" customHeight="1">
      <c r="K833" s="8"/>
      <c r="L833" s="8"/>
      <c r="O833" s="8"/>
      <c r="Q833" s="8"/>
      <c r="R833" s="8"/>
      <c r="S833" s="8"/>
    </row>
    <row r="834" ht="15.75" customHeight="1">
      <c r="K834" s="8"/>
      <c r="L834" s="8"/>
      <c r="O834" s="8"/>
      <c r="Q834" s="8"/>
      <c r="R834" s="8"/>
      <c r="S834" s="8"/>
    </row>
    <row r="835" ht="15.75" customHeight="1">
      <c r="K835" s="8"/>
      <c r="L835" s="8"/>
      <c r="O835" s="8"/>
      <c r="Q835" s="8"/>
      <c r="R835" s="8"/>
      <c r="S835" s="8"/>
    </row>
    <row r="836" ht="15.75" customHeight="1">
      <c r="K836" s="8"/>
      <c r="L836" s="8"/>
      <c r="O836" s="8"/>
      <c r="Q836" s="8"/>
      <c r="R836" s="8"/>
      <c r="S836" s="8"/>
    </row>
    <row r="837" ht="15.75" customHeight="1">
      <c r="K837" s="8"/>
      <c r="L837" s="8"/>
      <c r="O837" s="8"/>
      <c r="Q837" s="8"/>
      <c r="R837" s="8"/>
      <c r="S837" s="8"/>
    </row>
    <row r="838" ht="15.75" customHeight="1">
      <c r="K838" s="8"/>
      <c r="L838" s="8"/>
      <c r="O838" s="8"/>
      <c r="Q838" s="8"/>
      <c r="R838" s="8"/>
      <c r="S838" s="8"/>
    </row>
    <row r="839" ht="15.75" customHeight="1">
      <c r="K839" s="8"/>
      <c r="L839" s="8"/>
      <c r="O839" s="8"/>
      <c r="Q839" s="8"/>
      <c r="R839" s="8"/>
      <c r="S839" s="8"/>
    </row>
    <row r="840" ht="15.75" customHeight="1">
      <c r="K840" s="8"/>
      <c r="L840" s="8"/>
      <c r="O840" s="8"/>
      <c r="Q840" s="8"/>
      <c r="R840" s="8"/>
      <c r="S840" s="8"/>
    </row>
    <row r="841" ht="15.75" customHeight="1">
      <c r="K841" s="8"/>
      <c r="L841" s="8"/>
      <c r="O841" s="8"/>
      <c r="Q841" s="8"/>
      <c r="R841" s="8"/>
      <c r="S841" s="8"/>
    </row>
    <row r="842" ht="15.75" customHeight="1">
      <c r="K842" s="8"/>
      <c r="L842" s="8"/>
      <c r="O842" s="8"/>
      <c r="Q842" s="8"/>
      <c r="R842" s="8"/>
      <c r="S842" s="8"/>
    </row>
    <row r="843" ht="15.75" customHeight="1">
      <c r="K843" s="8"/>
      <c r="L843" s="8"/>
      <c r="O843" s="8"/>
      <c r="Q843" s="8"/>
      <c r="R843" s="8"/>
      <c r="S843" s="8"/>
    </row>
    <row r="844" ht="15.75" customHeight="1">
      <c r="K844" s="8"/>
      <c r="L844" s="8"/>
      <c r="O844" s="8"/>
      <c r="Q844" s="8"/>
      <c r="R844" s="8"/>
      <c r="S844" s="8"/>
    </row>
    <row r="845" ht="15.75" customHeight="1">
      <c r="K845" s="8"/>
      <c r="L845" s="8"/>
      <c r="O845" s="8"/>
      <c r="Q845" s="8"/>
      <c r="R845" s="8"/>
      <c r="S845" s="8"/>
    </row>
    <row r="846" ht="15.75" customHeight="1">
      <c r="K846" s="8"/>
      <c r="L846" s="8"/>
      <c r="O846" s="8"/>
      <c r="Q846" s="8"/>
      <c r="R846" s="8"/>
      <c r="S846" s="8"/>
    </row>
    <row r="847" ht="15.75" customHeight="1">
      <c r="K847" s="8"/>
      <c r="L847" s="8"/>
      <c r="O847" s="8"/>
      <c r="Q847" s="8"/>
      <c r="R847" s="8"/>
      <c r="S847" s="8"/>
    </row>
    <row r="848" ht="15.75" customHeight="1">
      <c r="K848" s="8"/>
      <c r="L848" s="8"/>
      <c r="O848" s="8"/>
      <c r="Q848" s="8"/>
      <c r="R848" s="8"/>
      <c r="S848" s="8"/>
    </row>
    <row r="849" ht="15.75" customHeight="1">
      <c r="K849" s="8"/>
      <c r="L849" s="8"/>
      <c r="O849" s="8"/>
      <c r="Q849" s="8"/>
      <c r="R849" s="8"/>
      <c r="S849" s="8"/>
    </row>
    <row r="850" ht="15.75" customHeight="1">
      <c r="K850" s="8"/>
      <c r="L850" s="8"/>
      <c r="O850" s="8"/>
      <c r="Q850" s="8"/>
      <c r="R850" s="8"/>
      <c r="S850" s="8"/>
    </row>
    <row r="851" ht="15.75" customHeight="1">
      <c r="K851" s="8"/>
      <c r="L851" s="8"/>
      <c r="O851" s="8"/>
      <c r="Q851" s="8"/>
      <c r="R851" s="8"/>
      <c r="S851" s="8"/>
    </row>
    <row r="852" ht="15.75" customHeight="1">
      <c r="K852" s="8"/>
      <c r="L852" s="8"/>
      <c r="O852" s="8"/>
      <c r="Q852" s="8"/>
      <c r="R852" s="8"/>
      <c r="S852" s="8"/>
    </row>
    <row r="853" ht="15.75" customHeight="1">
      <c r="K853" s="8"/>
      <c r="L853" s="8"/>
      <c r="O853" s="8"/>
      <c r="Q853" s="8"/>
      <c r="R853" s="8"/>
      <c r="S853" s="8"/>
    </row>
    <row r="854" ht="15.75" customHeight="1">
      <c r="K854" s="8"/>
      <c r="L854" s="8"/>
      <c r="O854" s="8"/>
      <c r="Q854" s="8"/>
      <c r="R854" s="8"/>
      <c r="S854" s="8"/>
    </row>
    <row r="855" ht="15.75" customHeight="1">
      <c r="K855" s="8"/>
      <c r="L855" s="8"/>
      <c r="O855" s="8"/>
      <c r="Q855" s="8"/>
      <c r="R855" s="8"/>
      <c r="S855" s="8"/>
    </row>
    <row r="856" ht="15.75" customHeight="1">
      <c r="K856" s="8"/>
      <c r="L856" s="8"/>
      <c r="O856" s="8"/>
      <c r="Q856" s="8"/>
      <c r="R856" s="8"/>
      <c r="S856" s="8"/>
    </row>
    <row r="857" ht="15.75" customHeight="1">
      <c r="K857" s="8"/>
      <c r="L857" s="8"/>
      <c r="O857" s="8"/>
      <c r="Q857" s="8"/>
      <c r="R857" s="8"/>
      <c r="S857" s="8"/>
    </row>
    <row r="858" ht="15.75" customHeight="1">
      <c r="K858" s="8"/>
      <c r="L858" s="8"/>
      <c r="O858" s="8"/>
      <c r="Q858" s="8"/>
      <c r="R858" s="8"/>
      <c r="S858" s="8"/>
    </row>
    <row r="859" ht="15.75" customHeight="1">
      <c r="K859" s="8"/>
      <c r="L859" s="8"/>
      <c r="O859" s="8"/>
      <c r="Q859" s="8"/>
      <c r="R859" s="8"/>
      <c r="S859" s="8"/>
    </row>
    <row r="860" ht="15.75" customHeight="1">
      <c r="K860" s="8"/>
      <c r="L860" s="8"/>
      <c r="O860" s="8"/>
      <c r="Q860" s="8"/>
      <c r="R860" s="8"/>
      <c r="S860" s="8"/>
    </row>
    <row r="861" ht="15.75" customHeight="1">
      <c r="K861" s="8"/>
      <c r="L861" s="8"/>
      <c r="O861" s="8"/>
      <c r="Q861" s="8"/>
      <c r="R861" s="8"/>
      <c r="S861" s="8"/>
    </row>
    <row r="862" ht="15.75" customHeight="1">
      <c r="K862" s="8"/>
      <c r="L862" s="8"/>
      <c r="O862" s="8"/>
      <c r="Q862" s="8"/>
      <c r="R862" s="8"/>
      <c r="S862" s="8"/>
    </row>
    <row r="863" ht="15.75" customHeight="1">
      <c r="K863" s="8"/>
      <c r="L863" s="8"/>
      <c r="O863" s="8"/>
      <c r="Q863" s="8"/>
      <c r="R863" s="8"/>
      <c r="S863" s="8"/>
    </row>
    <row r="864" ht="15.75" customHeight="1">
      <c r="K864" s="8"/>
      <c r="L864" s="8"/>
      <c r="O864" s="8"/>
      <c r="Q864" s="8"/>
      <c r="R864" s="8"/>
      <c r="S864" s="8"/>
    </row>
    <row r="865" ht="15.75" customHeight="1">
      <c r="K865" s="8"/>
      <c r="L865" s="8"/>
      <c r="O865" s="8"/>
      <c r="Q865" s="8"/>
      <c r="R865" s="8"/>
      <c r="S865" s="8"/>
    </row>
    <row r="866" ht="15.75" customHeight="1">
      <c r="K866" s="8"/>
      <c r="L866" s="8"/>
      <c r="O866" s="8"/>
      <c r="Q866" s="8"/>
      <c r="R866" s="8"/>
      <c r="S866" s="8"/>
    </row>
    <row r="867" ht="15.75" customHeight="1">
      <c r="K867" s="8"/>
      <c r="L867" s="8"/>
      <c r="O867" s="8"/>
      <c r="Q867" s="8"/>
      <c r="R867" s="8"/>
      <c r="S867" s="8"/>
    </row>
    <row r="868" ht="15.75" customHeight="1">
      <c r="K868" s="8"/>
      <c r="L868" s="8"/>
      <c r="O868" s="8"/>
      <c r="Q868" s="8"/>
      <c r="R868" s="8"/>
      <c r="S868" s="8"/>
    </row>
    <row r="869" ht="15.75" customHeight="1">
      <c r="K869" s="8"/>
      <c r="L869" s="8"/>
      <c r="O869" s="8"/>
      <c r="Q869" s="8"/>
      <c r="R869" s="8"/>
      <c r="S869" s="8"/>
    </row>
    <row r="870" ht="15.75" customHeight="1">
      <c r="K870" s="8"/>
      <c r="L870" s="8"/>
      <c r="O870" s="8"/>
      <c r="Q870" s="8"/>
      <c r="R870" s="8"/>
      <c r="S870" s="8"/>
    </row>
    <row r="871" ht="15.75" customHeight="1">
      <c r="K871" s="8"/>
      <c r="L871" s="8"/>
      <c r="O871" s="8"/>
      <c r="Q871" s="8"/>
      <c r="R871" s="8"/>
      <c r="S871" s="8"/>
    </row>
    <row r="872" ht="15.75" customHeight="1">
      <c r="K872" s="8"/>
      <c r="L872" s="8"/>
      <c r="O872" s="8"/>
      <c r="Q872" s="8"/>
      <c r="R872" s="8"/>
      <c r="S872" s="8"/>
    </row>
    <row r="873" ht="15.75" customHeight="1">
      <c r="K873" s="8"/>
      <c r="L873" s="8"/>
      <c r="O873" s="8"/>
      <c r="Q873" s="8"/>
      <c r="R873" s="8"/>
      <c r="S873" s="8"/>
    </row>
    <row r="874" ht="15.75" customHeight="1">
      <c r="K874" s="8"/>
      <c r="L874" s="8"/>
      <c r="O874" s="8"/>
      <c r="Q874" s="8"/>
      <c r="R874" s="8"/>
      <c r="S874" s="8"/>
    </row>
    <row r="875" ht="15.75" customHeight="1">
      <c r="K875" s="8"/>
      <c r="L875" s="8"/>
      <c r="O875" s="8"/>
      <c r="Q875" s="8"/>
      <c r="R875" s="8"/>
      <c r="S875" s="8"/>
    </row>
    <row r="876" ht="15.75" customHeight="1">
      <c r="K876" s="8"/>
      <c r="L876" s="8"/>
      <c r="O876" s="8"/>
      <c r="Q876" s="8"/>
      <c r="R876" s="8"/>
      <c r="S876" s="8"/>
    </row>
    <row r="877" ht="15.75" customHeight="1">
      <c r="K877" s="8"/>
      <c r="L877" s="8"/>
      <c r="O877" s="8"/>
      <c r="Q877" s="8"/>
      <c r="R877" s="8"/>
      <c r="S877" s="8"/>
    </row>
    <row r="878" ht="15.75" customHeight="1">
      <c r="K878" s="8"/>
      <c r="L878" s="8"/>
      <c r="O878" s="8"/>
      <c r="Q878" s="8"/>
      <c r="R878" s="8"/>
      <c r="S878" s="8"/>
    </row>
    <row r="879" ht="15.75" customHeight="1">
      <c r="K879" s="8"/>
      <c r="L879" s="8"/>
      <c r="O879" s="8"/>
      <c r="Q879" s="8"/>
      <c r="R879" s="8"/>
      <c r="S879" s="8"/>
    </row>
    <row r="880" ht="15.75" customHeight="1">
      <c r="K880" s="8"/>
      <c r="L880" s="8"/>
      <c r="O880" s="8"/>
      <c r="Q880" s="8"/>
      <c r="R880" s="8"/>
      <c r="S880" s="8"/>
    </row>
    <row r="881" ht="15.75" customHeight="1">
      <c r="K881" s="8"/>
      <c r="L881" s="8"/>
      <c r="O881" s="8"/>
      <c r="Q881" s="8"/>
      <c r="R881" s="8"/>
      <c r="S881" s="8"/>
    </row>
    <row r="882" ht="15.75" customHeight="1">
      <c r="K882" s="8"/>
      <c r="L882" s="8"/>
      <c r="O882" s="8"/>
      <c r="Q882" s="8"/>
      <c r="R882" s="8"/>
      <c r="S882" s="8"/>
    </row>
    <row r="883" ht="15.75" customHeight="1">
      <c r="K883" s="8"/>
      <c r="L883" s="8"/>
      <c r="O883" s="8"/>
      <c r="Q883" s="8"/>
      <c r="R883" s="8"/>
      <c r="S883" s="8"/>
    </row>
    <row r="884" ht="15.75" customHeight="1">
      <c r="K884" s="8"/>
      <c r="L884" s="8"/>
      <c r="O884" s="8"/>
      <c r="Q884" s="8"/>
      <c r="R884" s="8"/>
      <c r="S884" s="8"/>
    </row>
    <row r="885" ht="15.75" customHeight="1">
      <c r="K885" s="8"/>
      <c r="L885" s="8"/>
      <c r="O885" s="8"/>
      <c r="Q885" s="8"/>
      <c r="R885" s="8"/>
      <c r="S885" s="8"/>
    </row>
    <row r="886" ht="15.75" customHeight="1">
      <c r="K886" s="8"/>
      <c r="L886" s="8"/>
      <c r="O886" s="8"/>
      <c r="Q886" s="8"/>
      <c r="R886" s="8"/>
      <c r="S886" s="8"/>
    </row>
    <row r="887" ht="15.75" customHeight="1">
      <c r="K887" s="8"/>
      <c r="L887" s="8"/>
      <c r="O887" s="8"/>
      <c r="Q887" s="8"/>
      <c r="R887" s="8"/>
      <c r="S887" s="8"/>
    </row>
    <row r="888" ht="15.75" customHeight="1">
      <c r="K888" s="8"/>
      <c r="L888" s="8"/>
      <c r="O888" s="8"/>
      <c r="Q888" s="8"/>
      <c r="R888" s="8"/>
      <c r="S888" s="8"/>
    </row>
    <row r="889" ht="15.75" customHeight="1">
      <c r="K889" s="8"/>
      <c r="L889" s="8"/>
      <c r="O889" s="8"/>
      <c r="Q889" s="8"/>
      <c r="R889" s="8"/>
      <c r="S889" s="8"/>
    </row>
    <row r="890" ht="15.75" customHeight="1">
      <c r="K890" s="8"/>
      <c r="L890" s="8"/>
      <c r="O890" s="8"/>
      <c r="Q890" s="8"/>
      <c r="R890" s="8"/>
      <c r="S890" s="8"/>
    </row>
    <row r="891" ht="15.75" customHeight="1">
      <c r="K891" s="8"/>
      <c r="L891" s="8"/>
      <c r="O891" s="8"/>
      <c r="Q891" s="8"/>
      <c r="R891" s="8"/>
      <c r="S891" s="8"/>
    </row>
    <row r="892" ht="15.75" customHeight="1">
      <c r="K892" s="8"/>
      <c r="L892" s="8"/>
      <c r="O892" s="8"/>
      <c r="Q892" s="8"/>
      <c r="R892" s="8"/>
      <c r="S892" s="8"/>
    </row>
    <row r="893" ht="15.75" customHeight="1">
      <c r="K893" s="8"/>
      <c r="L893" s="8"/>
      <c r="O893" s="8"/>
      <c r="Q893" s="8"/>
      <c r="R893" s="8"/>
      <c r="S893" s="8"/>
    </row>
    <row r="894" ht="15.75" customHeight="1">
      <c r="K894" s="8"/>
      <c r="L894" s="8"/>
      <c r="O894" s="8"/>
      <c r="Q894" s="8"/>
      <c r="R894" s="8"/>
      <c r="S894" s="8"/>
    </row>
    <row r="895" ht="15.75" customHeight="1">
      <c r="K895" s="8"/>
      <c r="L895" s="8"/>
      <c r="O895" s="8"/>
      <c r="Q895" s="8"/>
      <c r="R895" s="8"/>
      <c r="S895" s="8"/>
    </row>
    <row r="896" ht="15.75" customHeight="1">
      <c r="K896" s="8"/>
      <c r="L896" s="8"/>
      <c r="O896" s="8"/>
      <c r="Q896" s="8"/>
      <c r="R896" s="8"/>
      <c r="S896" s="8"/>
    </row>
    <row r="897" ht="15.75" customHeight="1">
      <c r="K897" s="8"/>
      <c r="L897" s="8"/>
      <c r="O897" s="8"/>
      <c r="Q897" s="8"/>
      <c r="R897" s="8"/>
      <c r="S897" s="8"/>
    </row>
    <row r="898" ht="15.75" customHeight="1">
      <c r="K898" s="8"/>
      <c r="L898" s="8"/>
      <c r="O898" s="8"/>
      <c r="Q898" s="8"/>
      <c r="R898" s="8"/>
      <c r="S898" s="8"/>
    </row>
    <row r="899" ht="15.75" customHeight="1">
      <c r="K899" s="8"/>
      <c r="L899" s="8"/>
      <c r="O899" s="8"/>
      <c r="Q899" s="8"/>
      <c r="R899" s="8"/>
      <c r="S899" s="8"/>
    </row>
    <row r="900" ht="15.75" customHeight="1">
      <c r="K900" s="8"/>
      <c r="L900" s="8"/>
      <c r="O900" s="8"/>
      <c r="Q900" s="8"/>
      <c r="R900" s="8"/>
      <c r="S900" s="8"/>
    </row>
    <row r="901" ht="15.75" customHeight="1">
      <c r="K901" s="8"/>
      <c r="L901" s="8"/>
      <c r="O901" s="8"/>
      <c r="Q901" s="8"/>
      <c r="R901" s="8"/>
      <c r="S901" s="8"/>
    </row>
    <row r="902" ht="15.75" customHeight="1">
      <c r="K902" s="8"/>
      <c r="L902" s="8"/>
      <c r="O902" s="8"/>
      <c r="Q902" s="8"/>
      <c r="R902" s="8"/>
      <c r="S902" s="8"/>
    </row>
    <row r="903" ht="15.75" customHeight="1">
      <c r="K903" s="8"/>
      <c r="L903" s="8"/>
      <c r="O903" s="8"/>
      <c r="Q903" s="8"/>
      <c r="R903" s="8"/>
      <c r="S903" s="8"/>
    </row>
    <row r="904" ht="15.75" customHeight="1">
      <c r="K904" s="8"/>
      <c r="L904" s="8"/>
      <c r="O904" s="8"/>
      <c r="Q904" s="8"/>
      <c r="R904" s="8"/>
      <c r="S904" s="8"/>
    </row>
    <row r="905" ht="15.75" customHeight="1">
      <c r="K905" s="8"/>
      <c r="L905" s="8"/>
      <c r="O905" s="8"/>
      <c r="Q905" s="8"/>
      <c r="R905" s="8"/>
      <c r="S905" s="8"/>
    </row>
    <row r="906" ht="15.75" customHeight="1">
      <c r="K906" s="8"/>
      <c r="L906" s="8"/>
      <c r="O906" s="8"/>
      <c r="Q906" s="8"/>
      <c r="R906" s="8"/>
      <c r="S906" s="8"/>
    </row>
    <row r="907" ht="15.75" customHeight="1">
      <c r="K907" s="8"/>
      <c r="L907" s="8"/>
      <c r="O907" s="8"/>
      <c r="Q907" s="8"/>
      <c r="R907" s="8"/>
      <c r="S907" s="8"/>
    </row>
    <row r="908" ht="15.75" customHeight="1">
      <c r="K908" s="8"/>
      <c r="L908" s="8"/>
      <c r="O908" s="8"/>
      <c r="Q908" s="8"/>
      <c r="R908" s="8"/>
      <c r="S908" s="8"/>
    </row>
    <row r="909" ht="15.75" customHeight="1">
      <c r="K909" s="8"/>
      <c r="L909" s="8"/>
      <c r="O909" s="8"/>
      <c r="Q909" s="8"/>
      <c r="R909" s="8"/>
      <c r="S909" s="8"/>
    </row>
    <row r="910" ht="15.75" customHeight="1">
      <c r="K910" s="8"/>
      <c r="L910" s="8"/>
      <c r="O910" s="8"/>
      <c r="Q910" s="8"/>
      <c r="R910" s="8"/>
      <c r="S910" s="8"/>
    </row>
    <row r="911" ht="15.75" customHeight="1">
      <c r="K911" s="8"/>
      <c r="L911" s="8"/>
      <c r="O911" s="8"/>
      <c r="Q911" s="8"/>
      <c r="R911" s="8"/>
      <c r="S911" s="8"/>
    </row>
    <row r="912" ht="15.75" customHeight="1">
      <c r="K912" s="8"/>
      <c r="L912" s="8"/>
      <c r="O912" s="8"/>
      <c r="Q912" s="8"/>
      <c r="R912" s="8"/>
      <c r="S912" s="8"/>
    </row>
    <row r="913" ht="15.75" customHeight="1">
      <c r="K913" s="8"/>
      <c r="L913" s="8"/>
      <c r="O913" s="8"/>
      <c r="Q913" s="8"/>
      <c r="R913" s="8"/>
      <c r="S913" s="8"/>
    </row>
    <row r="914" ht="15.75" customHeight="1">
      <c r="K914" s="8"/>
      <c r="L914" s="8"/>
      <c r="O914" s="8"/>
      <c r="Q914" s="8"/>
      <c r="R914" s="8"/>
      <c r="S914" s="8"/>
    </row>
    <row r="915" ht="15.75" customHeight="1">
      <c r="K915" s="8"/>
      <c r="L915" s="8"/>
      <c r="O915" s="8"/>
      <c r="Q915" s="8"/>
      <c r="R915" s="8"/>
      <c r="S915" s="8"/>
    </row>
    <row r="916" ht="15.75" customHeight="1">
      <c r="K916" s="8"/>
      <c r="L916" s="8"/>
      <c r="O916" s="8"/>
      <c r="Q916" s="8"/>
      <c r="R916" s="8"/>
      <c r="S916" s="8"/>
    </row>
    <row r="917" ht="15.75" customHeight="1">
      <c r="K917" s="8"/>
      <c r="L917" s="8"/>
      <c r="O917" s="8"/>
      <c r="Q917" s="8"/>
      <c r="R917" s="8"/>
      <c r="S917" s="8"/>
    </row>
    <row r="918" ht="15.75" customHeight="1">
      <c r="K918" s="8"/>
      <c r="L918" s="8"/>
      <c r="O918" s="8"/>
      <c r="Q918" s="8"/>
      <c r="R918" s="8"/>
      <c r="S918" s="8"/>
    </row>
    <row r="919" ht="15.75" customHeight="1">
      <c r="K919" s="8"/>
      <c r="L919" s="8"/>
      <c r="O919" s="8"/>
      <c r="Q919" s="8"/>
      <c r="R919" s="8"/>
      <c r="S919" s="8"/>
    </row>
    <row r="920" ht="15.75" customHeight="1">
      <c r="K920" s="8"/>
      <c r="L920" s="8"/>
      <c r="O920" s="8"/>
      <c r="Q920" s="8"/>
      <c r="R920" s="8"/>
      <c r="S920" s="8"/>
    </row>
    <row r="921" ht="15.75" customHeight="1">
      <c r="K921" s="8"/>
      <c r="L921" s="8"/>
      <c r="O921" s="8"/>
      <c r="Q921" s="8"/>
      <c r="R921" s="8"/>
      <c r="S921" s="8"/>
    </row>
    <row r="922" ht="15.75" customHeight="1">
      <c r="K922" s="8"/>
      <c r="L922" s="8"/>
      <c r="O922" s="8"/>
      <c r="Q922" s="8"/>
      <c r="R922" s="8"/>
      <c r="S922" s="8"/>
    </row>
    <row r="923" ht="15.75" customHeight="1">
      <c r="K923" s="8"/>
      <c r="L923" s="8"/>
      <c r="O923" s="8"/>
      <c r="Q923" s="8"/>
      <c r="R923" s="8"/>
      <c r="S923" s="8"/>
    </row>
    <row r="924" ht="15.75" customHeight="1">
      <c r="K924" s="8"/>
      <c r="L924" s="8"/>
      <c r="O924" s="8"/>
      <c r="Q924" s="8"/>
      <c r="R924" s="8"/>
      <c r="S924" s="8"/>
    </row>
    <row r="925" ht="15.75" customHeight="1">
      <c r="K925" s="8"/>
      <c r="L925" s="8"/>
      <c r="O925" s="8"/>
      <c r="Q925" s="8"/>
      <c r="R925" s="8"/>
      <c r="S925" s="8"/>
    </row>
    <row r="926" ht="15.75" customHeight="1">
      <c r="K926" s="8"/>
      <c r="L926" s="8"/>
      <c r="O926" s="8"/>
      <c r="Q926" s="8"/>
      <c r="R926" s="8"/>
      <c r="S926" s="8"/>
    </row>
    <row r="927" ht="15.75" customHeight="1">
      <c r="K927" s="8"/>
      <c r="L927" s="8"/>
      <c r="O927" s="8"/>
      <c r="Q927" s="8"/>
      <c r="R927" s="8"/>
      <c r="S927" s="8"/>
    </row>
    <row r="928" ht="15.75" customHeight="1">
      <c r="K928" s="8"/>
      <c r="L928" s="8"/>
      <c r="O928" s="8"/>
      <c r="Q928" s="8"/>
      <c r="R928" s="8"/>
      <c r="S928" s="8"/>
    </row>
    <row r="929" ht="15.75" customHeight="1">
      <c r="K929" s="8"/>
      <c r="L929" s="8"/>
      <c r="O929" s="8"/>
      <c r="Q929" s="8"/>
      <c r="R929" s="8"/>
      <c r="S929" s="8"/>
    </row>
    <row r="930" ht="15.75" customHeight="1">
      <c r="K930" s="8"/>
      <c r="L930" s="8"/>
      <c r="O930" s="8"/>
      <c r="Q930" s="8"/>
      <c r="R930" s="8"/>
      <c r="S930" s="8"/>
    </row>
    <row r="931" ht="15.75" customHeight="1">
      <c r="K931" s="8"/>
      <c r="L931" s="8"/>
      <c r="O931" s="8"/>
      <c r="Q931" s="8"/>
      <c r="R931" s="8"/>
      <c r="S931" s="8"/>
    </row>
    <row r="932" ht="15.75" customHeight="1">
      <c r="K932" s="8"/>
      <c r="L932" s="8"/>
      <c r="O932" s="8"/>
      <c r="Q932" s="8"/>
      <c r="R932" s="8"/>
      <c r="S932" s="8"/>
    </row>
    <row r="933" ht="15.75" customHeight="1">
      <c r="K933" s="8"/>
      <c r="L933" s="8"/>
      <c r="O933" s="8"/>
      <c r="Q933" s="8"/>
      <c r="R933" s="8"/>
      <c r="S933" s="8"/>
    </row>
    <row r="934" ht="15.75" customHeight="1">
      <c r="K934" s="8"/>
      <c r="L934" s="8"/>
      <c r="O934" s="8"/>
      <c r="Q934" s="8"/>
      <c r="R934" s="8"/>
      <c r="S934" s="8"/>
    </row>
    <row r="935" ht="15.75" customHeight="1">
      <c r="K935" s="8"/>
      <c r="L935" s="8"/>
      <c r="O935" s="8"/>
      <c r="Q935" s="8"/>
      <c r="R935" s="8"/>
      <c r="S935" s="8"/>
    </row>
    <row r="936" ht="15.75" customHeight="1">
      <c r="K936" s="8"/>
      <c r="L936" s="8"/>
      <c r="O936" s="8"/>
      <c r="Q936" s="8"/>
      <c r="R936" s="8"/>
      <c r="S936" s="8"/>
    </row>
    <row r="937" ht="15.75" customHeight="1">
      <c r="K937" s="8"/>
      <c r="L937" s="8"/>
      <c r="O937" s="8"/>
      <c r="Q937" s="8"/>
      <c r="R937" s="8"/>
      <c r="S937" s="8"/>
    </row>
    <row r="938" ht="15.75" customHeight="1">
      <c r="K938" s="8"/>
      <c r="L938" s="8"/>
      <c r="O938" s="8"/>
      <c r="Q938" s="8"/>
      <c r="R938" s="8"/>
      <c r="S938" s="8"/>
    </row>
    <row r="939" ht="15.75" customHeight="1">
      <c r="K939" s="8"/>
      <c r="L939" s="8"/>
      <c r="O939" s="8"/>
      <c r="Q939" s="8"/>
      <c r="R939" s="8"/>
      <c r="S939" s="8"/>
    </row>
    <row r="940" ht="15.75" customHeight="1">
      <c r="K940" s="8"/>
      <c r="L940" s="8"/>
      <c r="O940" s="8"/>
      <c r="Q940" s="8"/>
      <c r="R940" s="8"/>
      <c r="S940" s="8"/>
    </row>
    <row r="941" ht="15.75" customHeight="1">
      <c r="K941" s="8"/>
      <c r="L941" s="8"/>
      <c r="O941" s="8"/>
      <c r="Q941" s="8"/>
      <c r="R941" s="8"/>
      <c r="S941" s="8"/>
    </row>
    <row r="942" ht="15.75" customHeight="1">
      <c r="K942" s="8"/>
      <c r="L942" s="8"/>
      <c r="O942" s="8"/>
      <c r="Q942" s="8"/>
      <c r="R942" s="8"/>
      <c r="S942" s="8"/>
    </row>
    <row r="943" ht="15.75" customHeight="1">
      <c r="K943" s="8"/>
      <c r="L943" s="8"/>
      <c r="O943" s="8"/>
      <c r="Q943" s="8"/>
      <c r="R943" s="8"/>
      <c r="S943" s="8"/>
    </row>
    <row r="944" ht="15.75" customHeight="1">
      <c r="K944" s="8"/>
      <c r="L944" s="8"/>
      <c r="O944" s="8"/>
      <c r="Q944" s="8"/>
      <c r="R944" s="8"/>
      <c r="S944" s="8"/>
    </row>
    <row r="945" ht="15.75" customHeight="1">
      <c r="K945" s="8"/>
      <c r="L945" s="8"/>
      <c r="O945" s="8"/>
      <c r="Q945" s="8"/>
      <c r="R945" s="8"/>
      <c r="S945" s="8"/>
    </row>
    <row r="946" ht="15.75" customHeight="1">
      <c r="K946" s="8"/>
      <c r="L946" s="8"/>
      <c r="O946" s="8"/>
      <c r="Q946" s="8"/>
      <c r="R946" s="8"/>
      <c r="S946" s="8"/>
    </row>
    <row r="947" ht="15.75" customHeight="1">
      <c r="K947" s="8"/>
      <c r="L947" s="8"/>
      <c r="O947" s="8"/>
      <c r="Q947" s="8"/>
      <c r="R947" s="8"/>
      <c r="S947" s="8"/>
    </row>
    <row r="948" ht="15.75" customHeight="1">
      <c r="K948" s="8"/>
      <c r="L948" s="8"/>
      <c r="O948" s="8"/>
      <c r="Q948" s="8"/>
      <c r="R948" s="8"/>
      <c r="S948" s="8"/>
    </row>
    <row r="949" ht="15.75" customHeight="1">
      <c r="K949" s="8"/>
      <c r="L949" s="8"/>
      <c r="O949" s="8"/>
      <c r="Q949" s="8"/>
      <c r="R949" s="8"/>
      <c r="S949" s="8"/>
    </row>
    <row r="950" ht="15.75" customHeight="1">
      <c r="K950" s="8"/>
      <c r="L950" s="8"/>
      <c r="O950" s="8"/>
      <c r="Q950" s="8"/>
      <c r="R950" s="8"/>
      <c r="S950" s="8"/>
    </row>
    <row r="951" ht="15.75" customHeight="1">
      <c r="K951" s="8"/>
      <c r="L951" s="8"/>
      <c r="O951" s="8"/>
      <c r="Q951" s="8"/>
      <c r="R951" s="8"/>
      <c r="S951" s="8"/>
    </row>
    <row r="952" ht="15.75" customHeight="1">
      <c r="K952" s="8"/>
      <c r="L952" s="8"/>
      <c r="O952" s="8"/>
      <c r="Q952" s="8"/>
      <c r="R952" s="8"/>
      <c r="S952" s="8"/>
    </row>
    <row r="953" ht="15.75" customHeight="1">
      <c r="K953" s="8"/>
      <c r="L953" s="8"/>
      <c r="O953" s="8"/>
      <c r="Q953" s="8"/>
      <c r="R953" s="8"/>
      <c r="S953" s="8"/>
    </row>
    <row r="954" ht="15.75" customHeight="1">
      <c r="K954" s="8"/>
      <c r="L954" s="8"/>
      <c r="O954" s="8"/>
      <c r="Q954" s="8"/>
      <c r="R954" s="8"/>
      <c r="S954" s="8"/>
    </row>
    <row r="955" ht="15.75" customHeight="1">
      <c r="K955" s="8"/>
      <c r="L955" s="8"/>
      <c r="O955" s="8"/>
      <c r="Q955" s="8"/>
      <c r="R955" s="8"/>
      <c r="S955" s="8"/>
    </row>
    <row r="956" ht="15.75" customHeight="1">
      <c r="K956" s="8"/>
      <c r="L956" s="8"/>
      <c r="O956" s="8"/>
      <c r="Q956" s="8"/>
      <c r="R956" s="8"/>
      <c r="S956" s="8"/>
    </row>
    <row r="957" ht="15.75" customHeight="1">
      <c r="K957" s="8"/>
      <c r="L957" s="8"/>
      <c r="O957" s="8"/>
      <c r="Q957" s="8"/>
      <c r="R957" s="8"/>
      <c r="S957" s="8"/>
    </row>
    <row r="958" ht="15.75" customHeight="1">
      <c r="K958" s="8"/>
      <c r="L958" s="8"/>
      <c r="O958" s="8"/>
      <c r="Q958" s="8"/>
      <c r="R958" s="8"/>
      <c r="S958" s="8"/>
    </row>
    <row r="959" ht="15.75" customHeight="1">
      <c r="K959" s="8"/>
      <c r="L959" s="8"/>
      <c r="O959" s="8"/>
      <c r="Q959" s="8"/>
      <c r="R959" s="8"/>
      <c r="S959" s="8"/>
    </row>
    <row r="960" ht="15.75" customHeight="1">
      <c r="K960" s="8"/>
      <c r="L960" s="8"/>
      <c r="O960" s="8"/>
      <c r="Q960" s="8"/>
      <c r="R960" s="8"/>
      <c r="S960" s="8"/>
    </row>
    <row r="961" ht="15.75" customHeight="1">
      <c r="K961" s="8"/>
      <c r="L961" s="8"/>
      <c r="O961" s="8"/>
      <c r="Q961" s="8"/>
      <c r="R961" s="8"/>
      <c r="S961" s="8"/>
    </row>
    <row r="962" ht="15.75" customHeight="1">
      <c r="K962" s="8"/>
      <c r="L962" s="8"/>
      <c r="O962" s="8"/>
      <c r="Q962" s="8"/>
      <c r="R962" s="8"/>
      <c r="S962" s="8"/>
    </row>
    <row r="963" ht="15.75" customHeight="1">
      <c r="K963" s="8"/>
      <c r="L963" s="8"/>
      <c r="O963" s="8"/>
      <c r="Q963" s="8"/>
      <c r="R963" s="8"/>
      <c r="S963" s="8"/>
    </row>
    <row r="964" ht="15.75" customHeight="1">
      <c r="K964" s="8"/>
      <c r="L964" s="8"/>
      <c r="O964" s="8"/>
      <c r="Q964" s="8"/>
      <c r="R964" s="8"/>
      <c r="S964" s="8"/>
    </row>
    <row r="965" ht="15.75" customHeight="1">
      <c r="K965" s="8"/>
      <c r="L965" s="8"/>
      <c r="O965" s="8"/>
      <c r="Q965" s="8"/>
      <c r="R965" s="8"/>
      <c r="S965" s="8"/>
    </row>
    <row r="966" ht="15.75" customHeight="1">
      <c r="K966" s="8"/>
      <c r="L966" s="8"/>
      <c r="O966" s="8"/>
      <c r="Q966" s="8"/>
      <c r="R966" s="8"/>
      <c r="S966" s="8"/>
    </row>
    <row r="967" ht="15.75" customHeight="1">
      <c r="K967" s="8"/>
      <c r="L967" s="8"/>
      <c r="O967" s="8"/>
      <c r="Q967" s="8"/>
      <c r="R967" s="8"/>
      <c r="S967" s="8"/>
    </row>
    <row r="968" ht="15.75" customHeight="1">
      <c r="K968" s="8"/>
      <c r="L968" s="8"/>
      <c r="O968" s="8"/>
      <c r="Q968" s="8"/>
      <c r="R968" s="8"/>
      <c r="S968" s="8"/>
    </row>
    <row r="969" ht="15.75" customHeight="1">
      <c r="K969" s="8"/>
      <c r="L969" s="8"/>
      <c r="O969" s="8"/>
      <c r="Q969" s="8"/>
      <c r="R969" s="8"/>
      <c r="S969" s="8"/>
    </row>
    <row r="970" ht="15.75" customHeight="1">
      <c r="K970" s="8"/>
      <c r="L970" s="8"/>
      <c r="O970" s="8"/>
      <c r="Q970" s="8"/>
      <c r="R970" s="8"/>
      <c r="S970" s="8"/>
    </row>
    <row r="971" ht="15.75" customHeight="1">
      <c r="K971" s="8"/>
      <c r="L971" s="8"/>
      <c r="O971" s="8"/>
      <c r="Q971" s="8"/>
      <c r="R971" s="8"/>
      <c r="S971" s="8"/>
    </row>
    <row r="972" ht="15.75" customHeight="1">
      <c r="K972" s="8"/>
      <c r="L972" s="8"/>
      <c r="O972" s="8"/>
      <c r="Q972" s="8"/>
      <c r="R972" s="8"/>
      <c r="S972" s="8"/>
    </row>
    <row r="973" ht="15.75" customHeight="1">
      <c r="K973" s="8"/>
      <c r="L973" s="8"/>
      <c r="O973" s="8"/>
      <c r="Q973" s="8"/>
      <c r="R973" s="8"/>
      <c r="S973" s="8"/>
    </row>
    <row r="974" ht="15.75" customHeight="1">
      <c r="K974" s="8"/>
      <c r="L974" s="8"/>
      <c r="O974" s="8"/>
      <c r="Q974" s="8"/>
      <c r="R974" s="8"/>
      <c r="S974" s="8"/>
    </row>
    <row r="975" ht="15.75" customHeight="1">
      <c r="K975" s="8"/>
      <c r="L975" s="8"/>
      <c r="O975" s="8"/>
      <c r="Q975" s="8"/>
      <c r="R975" s="8"/>
      <c r="S975" s="8"/>
    </row>
    <row r="976" ht="15.75" customHeight="1">
      <c r="K976" s="8"/>
      <c r="L976" s="8"/>
      <c r="O976" s="8"/>
      <c r="Q976" s="8"/>
      <c r="R976" s="8"/>
      <c r="S976" s="8"/>
    </row>
    <row r="977" ht="15.75" customHeight="1">
      <c r="K977" s="8"/>
      <c r="L977" s="8"/>
      <c r="O977" s="8"/>
      <c r="Q977" s="8"/>
      <c r="R977" s="8"/>
      <c r="S977" s="8"/>
    </row>
    <row r="978" ht="15.75" customHeight="1">
      <c r="K978" s="8"/>
      <c r="L978" s="8"/>
      <c r="O978" s="8"/>
      <c r="Q978" s="8"/>
      <c r="R978" s="8"/>
      <c r="S978" s="8"/>
    </row>
    <row r="979" ht="15.75" customHeight="1">
      <c r="K979" s="8"/>
      <c r="L979" s="8"/>
      <c r="O979" s="8"/>
      <c r="Q979" s="8"/>
      <c r="R979" s="8"/>
      <c r="S979" s="8"/>
    </row>
    <row r="980" ht="15.75" customHeight="1">
      <c r="K980" s="8"/>
      <c r="L980" s="8"/>
      <c r="O980" s="8"/>
      <c r="Q980" s="8"/>
      <c r="R980" s="8"/>
      <c r="S980" s="8"/>
    </row>
    <row r="981" ht="15.75" customHeight="1">
      <c r="K981" s="8"/>
      <c r="L981" s="8"/>
      <c r="O981" s="8"/>
      <c r="Q981" s="8"/>
      <c r="R981" s="8"/>
      <c r="S981" s="8"/>
    </row>
    <row r="982" ht="15.75" customHeight="1">
      <c r="K982" s="8"/>
      <c r="L982" s="8"/>
      <c r="O982" s="8"/>
      <c r="Q982" s="8"/>
      <c r="R982" s="8"/>
      <c r="S982" s="8"/>
    </row>
    <row r="983" ht="15.75" customHeight="1">
      <c r="K983" s="8"/>
      <c r="L983" s="8"/>
      <c r="O983" s="8"/>
      <c r="Q983" s="8"/>
      <c r="R983" s="8"/>
      <c r="S983" s="8"/>
    </row>
    <row r="984" ht="15.75" customHeight="1">
      <c r="K984" s="8"/>
      <c r="L984" s="8"/>
      <c r="O984" s="8"/>
      <c r="Q984" s="8"/>
      <c r="R984" s="8"/>
      <c r="S984" s="8"/>
    </row>
    <row r="985" ht="15.75" customHeight="1">
      <c r="K985" s="8"/>
      <c r="L985" s="8"/>
      <c r="O985" s="8"/>
      <c r="Q985" s="8"/>
      <c r="R985" s="8"/>
      <c r="S985" s="8"/>
    </row>
    <row r="986" ht="15.75" customHeight="1">
      <c r="K986" s="8"/>
      <c r="L986" s="8"/>
      <c r="O986" s="8"/>
      <c r="Q986" s="8"/>
      <c r="R986" s="8"/>
      <c r="S986" s="8"/>
    </row>
    <row r="987" ht="15.75" customHeight="1">
      <c r="K987" s="8"/>
      <c r="L987" s="8"/>
      <c r="O987" s="8"/>
      <c r="Q987" s="8"/>
      <c r="R987" s="8"/>
      <c r="S987" s="8"/>
    </row>
    <row r="988" ht="15.75" customHeight="1">
      <c r="K988" s="8"/>
      <c r="L988" s="8"/>
      <c r="O988" s="8"/>
      <c r="Q988" s="8"/>
      <c r="R988" s="8"/>
      <c r="S988" s="8"/>
    </row>
    <row r="989" ht="15.75" customHeight="1">
      <c r="K989" s="8"/>
      <c r="L989" s="8"/>
      <c r="O989" s="8"/>
      <c r="Q989" s="8"/>
      <c r="R989" s="8"/>
      <c r="S989" s="8"/>
    </row>
    <row r="990" ht="15.75" customHeight="1">
      <c r="K990" s="8"/>
      <c r="L990" s="8"/>
      <c r="O990" s="8"/>
      <c r="Q990" s="8"/>
      <c r="R990" s="8"/>
      <c r="S990" s="8"/>
    </row>
    <row r="991" ht="15.75" customHeight="1">
      <c r="K991" s="8"/>
      <c r="L991" s="8"/>
      <c r="O991" s="8"/>
      <c r="Q991" s="8"/>
      <c r="R991" s="8"/>
      <c r="S991" s="8"/>
    </row>
    <row r="992" ht="15.75" customHeight="1">
      <c r="K992" s="8"/>
      <c r="L992" s="8"/>
      <c r="O992" s="8"/>
      <c r="Q992" s="8"/>
      <c r="R992" s="8"/>
      <c r="S992" s="8"/>
    </row>
    <row r="993" ht="15.75" customHeight="1">
      <c r="K993" s="8"/>
      <c r="L993" s="8"/>
      <c r="O993" s="8"/>
      <c r="Q993" s="8"/>
      <c r="R993" s="8"/>
      <c r="S993" s="8"/>
    </row>
    <row r="994" ht="15.75" customHeight="1">
      <c r="K994" s="8"/>
      <c r="L994" s="8"/>
      <c r="O994" s="8"/>
      <c r="Q994" s="8"/>
      <c r="R994" s="8"/>
      <c r="S994" s="8"/>
    </row>
    <row r="995" ht="15.75" customHeight="1">
      <c r="K995" s="8"/>
      <c r="L995" s="8"/>
      <c r="O995" s="8"/>
      <c r="Q995" s="8"/>
      <c r="R995" s="8"/>
      <c r="S995" s="8"/>
    </row>
    <row r="996" ht="15.75" customHeight="1">
      <c r="K996" s="8"/>
      <c r="L996" s="8"/>
      <c r="O996" s="8"/>
      <c r="Q996" s="8"/>
      <c r="R996" s="8"/>
      <c r="S996" s="8"/>
    </row>
    <row r="997" ht="15.75" customHeight="1">
      <c r="K997" s="8"/>
      <c r="L997" s="8"/>
      <c r="O997" s="8"/>
      <c r="Q997" s="8"/>
      <c r="R997" s="8"/>
      <c r="S997" s="8"/>
    </row>
    <row r="998" ht="15.75" customHeight="1">
      <c r="K998" s="8"/>
      <c r="L998" s="8"/>
      <c r="O998" s="8"/>
      <c r="Q998" s="8"/>
      <c r="R998" s="8"/>
      <c r="S998" s="8"/>
    </row>
    <row r="999" ht="15.75" customHeight="1">
      <c r="K999" s="8"/>
      <c r="L999" s="8"/>
      <c r="O999" s="8"/>
      <c r="Q999" s="8"/>
      <c r="R999" s="8"/>
      <c r="S999" s="8"/>
    </row>
    <row r="1000" ht="15.75" customHeight="1">
      <c r="K1000" s="8"/>
      <c r="L1000" s="8"/>
      <c r="O1000" s="8"/>
      <c r="Q1000" s="8"/>
      <c r="R1000" s="8"/>
      <c r="S1000" s="8"/>
    </row>
  </sheetData>
  <mergeCells count="94">
    <mergeCell ref="DB6:DE6"/>
    <mergeCell ref="DF6:DJ6"/>
    <mergeCell ref="CA5:CI5"/>
    <mergeCell ref="CJ5:CR5"/>
    <mergeCell ref="CS5:DA5"/>
    <mergeCell ref="DB5:DJ5"/>
    <mergeCell ref="DK5:DL6"/>
    <mergeCell ref="CA6:CD6"/>
    <mergeCell ref="CE6:CI6"/>
    <mergeCell ref="P4:S4"/>
    <mergeCell ref="P7:Q7"/>
    <mergeCell ref="R7:S7"/>
    <mergeCell ref="C5:F8"/>
    <mergeCell ref="C9:F9"/>
    <mergeCell ref="B52:I52"/>
    <mergeCell ref="B4:J4"/>
    <mergeCell ref="T4:W4"/>
    <mergeCell ref="B5:B8"/>
    <mergeCell ref="G5:J6"/>
    <mergeCell ref="K5:O5"/>
    <mergeCell ref="J7:J8"/>
    <mergeCell ref="T7:V7"/>
    <mergeCell ref="AX7:AY7"/>
    <mergeCell ref="AZ7:BA7"/>
    <mergeCell ref="AH7:AI7"/>
    <mergeCell ref="AJ7:AK7"/>
    <mergeCell ref="AL7:AN7"/>
    <mergeCell ref="AO7:AP7"/>
    <mergeCell ref="AQ7:AR7"/>
    <mergeCell ref="AS7:AT7"/>
    <mergeCell ref="AU7:AW7"/>
    <mergeCell ref="BR7:BS7"/>
    <mergeCell ref="BT7:BU7"/>
    <mergeCell ref="BB7:BC7"/>
    <mergeCell ref="BD7:BF7"/>
    <mergeCell ref="BG7:BH7"/>
    <mergeCell ref="BI7:BJ7"/>
    <mergeCell ref="BK7:BL7"/>
    <mergeCell ref="BM7:BO7"/>
    <mergeCell ref="BP7:BQ7"/>
    <mergeCell ref="CL7:CM7"/>
    <mergeCell ref="CN7:CP7"/>
    <mergeCell ref="BV7:BX7"/>
    <mergeCell ref="BY7:BZ7"/>
    <mergeCell ref="CA7:CB7"/>
    <mergeCell ref="CC7:CD7"/>
    <mergeCell ref="CE7:CG7"/>
    <mergeCell ref="CH7:CI7"/>
    <mergeCell ref="CJ7:CK7"/>
    <mergeCell ref="P5:X5"/>
    <mergeCell ref="Y5:AG5"/>
    <mergeCell ref="AH5:AP5"/>
    <mergeCell ref="AQ5:AY5"/>
    <mergeCell ref="AZ5:BH5"/>
    <mergeCell ref="BI5:BQ5"/>
    <mergeCell ref="BR5:BZ5"/>
    <mergeCell ref="P6:S6"/>
    <mergeCell ref="T6:X6"/>
    <mergeCell ref="Y6:AB6"/>
    <mergeCell ref="AC6:AG6"/>
    <mergeCell ref="AH6:AK6"/>
    <mergeCell ref="AL6:AP6"/>
    <mergeCell ref="AQ6:AT6"/>
    <mergeCell ref="CS6:CV6"/>
    <mergeCell ref="CW6:DA6"/>
    <mergeCell ref="G7:G8"/>
    <mergeCell ref="I7:I8"/>
    <mergeCell ref="K6:L7"/>
    <mergeCell ref="M6:O7"/>
    <mergeCell ref="W7:X7"/>
    <mergeCell ref="Y7:Z7"/>
    <mergeCell ref="AA7:AB7"/>
    <mergeCell ref="AC7:AE7"/>
    <mergeCell ref="AF7:AG7"/>
    <mergeCell ref="AU6:AY6"/>
    <mergeCell ref="AZ6:BC6"/>
    <mergeCell ref="BD6:BH6"/>
    <mergeCell ref="BI6:BL6"/>
    <mergeCell ref="BM6:BQ6"/>
    <mergeCell ref="BR6:BU6"/>
    <mergeCell ref="BV6:BZ6"/>
    <mergeCell ref="DB7:DC7"/>
    <mergeCell ref="DD7:DE7"/>
    <mergeCell ref="DF7:DH7"/>
    <mergeCell ref="DI7:DJ7"/>
    <mergeCell ref="DK7:DK8"/>
    <mergeCell ref="DL7:DL8"/>
    <mergeCell ref="CJ6:CM6"/>
    <mergeCell ref="CN6:CR6"/>
    <mergeCell ref="CQ7:CR7"/>
    <mergeCell ref="CS7:CT7"/>
    <mergeCell ref="CU7:CV7"/>
    <mergeCell ref="CW7:CY7"/>
    <mergeCell ref="CZ7:DA7"/>
  </mergeCells>
  <printOptions/>
  <pageMargins bottom="0.75" footer="0.0" header="0.0" left="1.0" right="0.2" top="1.0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2.29"/>
    <col customWidth="1" min="3" max="4" width="1.86"/>
    <col customWidth="1" min="5" max="5" width="12.29"/>
    <col customWidth="1" min="6" max="6" width="29.0"/>
    <col customWidth="1" min="7" max="7" width="8.14"/>
    <col customWidth="1" min="8" max="8" width="7.57"/>
    <col customWidth="1" min="9" max="9" width="12.57"/>
    <col customWidth="1" min="10" max="10" width="14.29"/>
    <col customWidth="1" min="11" max="11" width="8.0"/>
    <col customWidth="1" min="12" max="12" width="14.29"/>
    <col customWidth="1" min="13" max="13" width="8.0"/>
    <col customWidth="1" min="14" max="14" width="13.0"/>
    <col customWidth="1" min="15" max="15" width="14.29"/>
    <col customWidth="1" min="16" max="16" width="8.57"/>
    <col customWidth="1" min="17" max="17" width="16.86"/>
    <col customWidth="1" min="18" max="18" width="9.71"/>
    <col customWidth="1" min="19" max="19" width="19.0"/>
    <col customWidth="1" min="20" max="20" width="8.0"/>
    <col customWidth="1" min="21" max="21" width="13.0"/>
    <col customWidth="1" min="22" max="22" width="14.29"/>
    <col customWidth="1" min="23" max="23" width="8.0"/>
    <col customWidth="1" min="24" max="24" width="14.29"/>
    <col customWidth="1" min="25" max="25" width="8.0"/>
    <col customWidth="1" min="26" max="26" width="14.29"/>
    <col customWidth="1" min="27" max="27" width="9.57"/>
    <col customWidth="1" min="28" max="28" width="17.57"/>
    <col customWidth="1" min="29" max="29" width="8.0"/>
    <col customWidth="1" min="30" max="30" width="13.0"/>
    <col customWidth="1" min="31" max="31" width="14.29"/>
    <col customWidth="1" min="32" max="32" width="8.0"/>
    <col customWidth="1" min="33" max="33" width="14.29"/>
    <col customWidth="1" min="34" max="34" width="8.0"/>
    <col customWidth="1" min="35" max="35" width="14.29"/>
    <col customWidth="1" min="36" max="36" width="8.0"/>
    <col customWidth="1" min="37" max="37" width="14.29"/>
    <col customWidth="1" min="38" max="38" width="8.0"/>
    <col customWidth="1" min="39" max="39" width="13.0"/>
    <col customWidth="1" min="40" max="40" width="14.29"/>
    <col customWidth="1" min="41" max="41" width="8.0"/>
    <col customWidth="1" min="42" max="42" width="14.29"/>
    <col customWidth="1" min="43" max="43" width="8.0"/>
    <col customWidth="1" min="44" max="44" width="10.57"/>
    <col customWidth="1" min="45" max="45" width="8.0"/>
    <col customWidth="1" min="46" max="46" width="15.29"/>
    <col customWidth="1" min="47" max="47" width="8.0"/>
    <col customWidth="1" min="48" max="48" width="12.43"/>
    <col customWidth="1" min="49" max="49" width="13.43"/>
    <col customWidth="1" min="50" max="50" width="8.0"/>
    <col customWidth="1" min="51" max="51" width="15.29"/>
    <col customWidth="1" min="52" max="52" width="8.0"/>
    <col customWidth="1" min="53" max="53" width="13.43"/>
    <col customWidth="1" min="54" max="54" width="8.0"/>
    <col customWidth="1" min="55" max="55" width="15.29"/>
    <col customWidth="1" min="56" max="56" width="8.0"/>
    <col customWidth="1" min="57" max="58" width="13.43"/>
    <col customWidth="1" min="59" max="59" width="8.0"/>
    <col customWidth="1" min="60" max="60" width="15.29"/>
    <col customWidth="1" min="61" max="61" width="8.0"/>
    <col customWidth="1" min="62" max="62" width="13.43"/>
    <col customWidth="1" min="63" max="63" width="8.0"/>
    <col customWidth="1" min="64" max="64" width="15.29"/>
    <col customWidth="1" min="65" max="65" width="8.0"/>
    <col customWidth="1" min="66" max="66" width="13.29"/>
    <col customWidth="1" min="67" max="67" width="13.57"/>
    <col customWidth="1" min="68" max="68" width="8.0"/>
    <col customWidth="1" min="69" max="69" width="15.29"/>
    <col customWidth="1" min="70" max="70" width="8.0"/>
    <col customWidth="1" min="71" max="71" width="13.43"/>
    <col customWidth="1" min="72" max="72" width="8.43"/>
    <col customWidth="1" min="73" max="73" width="15.29"/>
    <col customWidth="1" min="74" max="74" width="8.0"/>
    <col customWidth="1" min="75" max="75" width="13.0"/>
    <col customWidth="1" min="76" max="76" width="13.43"/>
    <col customWidth="1" min="77" max="77" width="8.43"/>
    <col customWidth="1" min="78" max="78" width="15.29"/>
    <col customWidth="1" min="79" max="79" width="8.0"/>
    <col customWidth="1" min="80" max="80" width="13.43"/>
    <col customWidth="1" min="81" max="81" width="8.43"/>
    <col customWidth="1" min="82" max="82" width="15.29"/>
    <col customWidth="1" min="83" max="83" width="8.0"/>
    <col customWidth="1" min="84" max="84" width="13.0"/>
    <col customWidth="1" min="85" max="85" width="13.43"/>
    <col customWidth="1" min="86" max="86" width="8.43"/>
    <col customWidth="1" min="87" max="87" width="15.29"/>
    <col customWidth="1" min="88" max="88" width="8.0"/>
    <col customWidth="1" min="89" max="89" width="13.43"/>
    <col customWidth="1" min="90" max="90" width="8.43"/>
    <col customWidth="1" min="91" max="91" width="15.29"/>
    <col customWidth="1" min="92" max="92" width="8.0"/>
    <col customWidth="1" min="93" max="93" width="13.0"/>
    <col customWidth="1" min="94" max="94" width="13.43"/>
    <col customWidth="1" min="95" max="95" width="8.43"/>
    <col customWidth="1" min="96" max="96" width="15.29"/>
    <col customWidth="1" min="97" max="97" width="8.0"/>
    <col customWidth="1" min="98" max="98" width="13.43"/>
    <col customWidth="1" min="99" max="99" width="8.43"/>
    <col customWidth="1" min="100" max="100" width="15.29"/>
    <col customWidth="1" min="101" max="101" width="8.0"/>
    <col customWidth="1" min="102" max="102" width="13.0"/>
    <col customWidth="1" min="103" max="103" width="13.43"/>
    <col customWidth="1" min="104" max="104" width="8.43"/>
    <col customWidth="1" min="105" max="105" width="13.29"/>
    <col customWidth="1" min="106" max="106" width="8.0"/>
    <col customWidth="1" min="107" max="107" width="13.43"/>
    <col customWidth="1" min="108" max="108" width="8.43"/>
    <col customWidth="1" min="109" max="109" width="15.29"/>
    <col customWidth="1" min="110" max="110" width="8.0"/>
    <col customWidth="1" min="111" max="111" width="13.0"/>
    <col customWidth="1" min="112" max="112" width="13.43"/>
    <col customWidth="1" min="113" max="113" width="8.43"/>
    <col customWidth="1" min="114" max="114" width="15.29"/>
    <col customWidth="1" min="115" max="115" width="8.0"/>
    <col customWidth="1" min="116" max="116" width="15.29"/>
  </cols>
  <sheetData>
    <row r="1">
      <c r="B1" s="60"/>
      <c r="C1" s="5"/>
      <c r="D1" s="5"/>
      <c r="E1" s="5"/>
      <c r="F1" s="5"/>
      <c r="G1" s="5"/>
      <c r="H1" s="5"/>
      <c r="I1" s="5"/>
      <c r="J1" s="23"/>
      <c r="K1" s="8"/>
      <c r="L1" s="8"/>
      <c r="O1" s="8"/>
      <c r="Q1" s="8"/>
      <c r="R1" s="8"/>
      <c r="S1" s="8"/>
    </row>
    <row r="2">
      <c r="B2" s="176"/>
      <c r="J2" s="109"/>
      <c r="K2" s="8"/>
      <c r="L2" s="8"/>
      <c r="O2" s="8"/>
      <c r="P2" s="66"/>
      <c r="T2" s="66"/>
    </row>
    <row r="3" ht="15.0" customHeight="1">
      <c r="B3" s="6" t="s">
        <v>127</v>
      </c>
      <c r="C3" s="13" t="s">
        <v>47</v>
      </c>
      <c r="D3" s="5"/>
      <c r="E3" s="5"/>
      <c r="F3" s="23"/>
      <c r="G3" s="13" t="s">
        <v>48</v>
      </c>
      <c r="H3" s="5"/>
      <c r="I3" s="5"/>
      <c r="J3" s="23"/>
      <c r="K3" s="100" t="s">
        <v>128</v>
      </c>
      <c r="L3" s="37"/>
      <c r="M3" s="37"/>
      <c r="N3" s="37"/>
      <c r="O3" s="38"/>
      <c r="P3" s="100" t="s">
        <v>129</v>
      </c>
      <c r="Q3" s="37"/>
      <c r="R3" s="37"/>
      <c r="S3" s="37"/>
      <c r="T3" s="37"/>
      <c r="U3" s="37"/>
      <c r="V3" s="37"/>
      <c r="W3" s="37"/>
      <c r="X3" s="38"/>
      <c r="Y3" s="100" t="s">
        <v>130</v>
      </c>
      <c r="Z3" s="37"/>
      <c r="AA3" s="37"/>
      <c r="AB3" s="37"/>
      <c r="AC3" s="37"/>
      <c r="AD3" s="37"/>
      <c r="AE3" s="37"/>
      <c r="AF3" s="37"/>
      <c r="AG3" s="38"/>
      <c r="AH3" s="100" t="s">
        <v>131</v>
      </c>
      <c r="AI3" s="37"/>
      <c r="AJ3" s="37"/>
      <c r="AK3" s="37"/>
      <c r="AL3" s="37"/>
      <c r="AM3" s="37"/>
      <c r="AN3" s="37"/>
      <c r="AO3" s="37"/>
      <c r="AP3" s="38"/>
      <c r="AQ3" s="100" t="s">
        <v>132</v>
      </c>
      <c r="AR3" s="37"/>
      <c r="AS3" s="37"/>
      <c r="AT3" s="37"/>
      <c r="AU3" s="37"/>
      <c r="AV3" s="37"/>
      <c r="AW3" s="37"/>
      <c r="AX3" s="37"/>
      <c r="AY3" s="38"/>
      <c r="AZ3" s="100" t="s">
        <v>133</v>
      </c>
      <c r="BA3" s="37"/>
      <c r="BB3" s="37"/>
      <c r="BC3" s="37"/>
      <c r="BD3" s="37"/>
      <c r="BE3" s="37"/>
      <c r="BF3" s="37"/>
      <c r="BG3" s="37"/>
      <c r="BH3" s="38"/>
      <c r="BI3" s="100" t="s">
        <v>134</v>
      </c>
      <c r="BJ3" s="37"/>
      <c r="BK3" s="37"/>
      <c r="BL3" s="37"/>
      <c r="BM3" s="37"/>
      <c r="BN3" s="37"/>
      <c r="BO3" s="37"/>
      <c r="BP3" s="37"/>
      <c r="BQ3" s="38"/>
      <c r="BR3" s="100" t="s">
        <v>135</v>
      </c>
      <c r="BS3" s="37"/>
      <c r="BT3" s="37"/>
      <c r="BU3" s="37"/>
      <c r="BV3" s="37"/>
      <c r="BW3" s="37"/>
      <c r="BX3" s="37"/>
      <c r="BY3" s="37"/>
      <c r="BZ3" s="38"/>
      <c r="CA3" s="100" t="s">
        <v>136</v>
      </c>
      <c r="CB3" s="37"/>
      <c r="CC3" s="37"/>
      <c r="CD3" s="37"/>
      <c r="CE3" s="37"/>
      <c r="CF3" s="37"/>
      <c r="CG3" s="37"/>
      <c r="CH3" s="37"/>
      <c r="CI3" s="38"/>
      <c r="CJ3" s="100" t="s">
        <v>137</v>
      </c>
      <c r="CK3" s="37"/>
      <c r="CL3" s="37"/>
      <c r="CM3" s="37"/>
      <c r="CN3" s="37"/>
      <c r="CO3" s="37"/>
      <c r="CP3" s="37"/>
      <c r="CQ3" s="37"/>
      <c r="CR3" s="38"/>
      <c r="CS3" s="100" t="s">
        <v>138</v>
      </c>
      <c r="CT3" s="37"/>
      <c r="CU3" s="37"/>
      <c r="CV3" s="37"/>
      <c r="CW3" s="37"/>
      <c r="CX3" s="37"/>
      <c r="CY3" s="37"/>
      <c r="CZ3" s="37"/>
      <c r="DA3" s="38"/>
      <c r="DB3" s="100" t="s">
        <v>139</v>
      </c>
      <c r="DC3" s="37"/>
      <c r="DD3" s="37"/>
      <c r="DE3" s="37"/>
      <c r="DF3" s="37"/>
      <c r="DG3" s="37"/>
      <c r="DH3" s="37"/>
      <c r="DI3" s="37"/>
      <c r="DJ3" s="38"/>
      <c r="DK3" s="136" t="s">
        <v>140</v>
      </c>
      <c r="DL3" s="23"/>
    </row>
    <row r="4">
      <c r="A4" s="72"/>
      <c r="B4" s="12"/>
      <c r="C4" s="135"/>
      <c r="F4" s="109"/>
      <c r="G4" s="49"/>
      <c r="H4" s="11"/>
      <c r="I4" s="11"/>
      <c r="J4" s="50"/>
      <c r="K4" s="136" t="s">
        <v>141</v>
      </c>
      <c r="L4" s="23"/>
      <c r="M4" s="136" t="s">
        <v>142</v>
      </c>
      <c r="N4" s="5"/>
      <c r="O4" s="23"/>
      <c r="P4" s="100" t="s">
        <v>141</v>
      </c>
      <c r="Q4" s="37"/>
      <c r="R4" s="37"/>
      <c r="S4" s="38"/>
      <c r="T4" s="100" t="s">
        <v>142</v>
      </c>
      <c r="U4" s="37"/>
      <c r="V4" s="37"/>
      <c r="W4" s="37"/>
      <c r="X4" s="38"/>
      <c r="Y4" s="100" t="s">
        <v>141</v>
      </c>
      <c r="Z4" s="37"/>
      <c r="AA4" s="37"/>
      <c r="AB4" s="38"/>
      <c r="AC4" s="100" t="s">
        <v>142</v>
      </c>
      <c r="AD4" s="37"/>
      <c r="AE4" s="37"/>
      <c r="AF4" s="37"/>
      <c r="AG4" s="38"/>
      <c r="AH4" s="100" t="s">
        <v>141</v>
      </c>
      <c r="AI4" s="37"/>
      <c r="AJ4" s="37"/>
      <c r="AK4" s="38"/>
      <c r="AL4" s="100" t="s">
        <v>142</v>
      </c>
      <c r="AM4" s="37"/>
      <c r="AN4" s="37"/>
      <c r="AO4" s="37"/>
      <c r="AP4" s="38"/>
      <c r="AQ4" s="100" t="s">
        <v>141</v>
      </c>
      <c r="AR4" s="37"/>
      <c r="AS4" s="37"/>
      <c r="AT4" s="38"/>
      <c r="AU4" s="100" t="s">
        <v>142</v>
      </c>
      <c r="AV4" s="37"/>
      <c r="AW4" s="37"/>
      <c r="AX4" s="37"/>
      <c r="AY4" s="38"/>
      <c r="AZ4" s="100" t="s">
        <v>141</v>
      </c>
      <c r="BA4" s="37"/>
      <c r="BB4" s="37"/>
      <c r="BC4" s="38"/>
      <c r="BD4" s="100" t="s">
        <v>142</v>
      </c>
      <c r="BE4" s="37"/>
      <c r="BF4" s="37"/>
      <c r="BG4" s="37"/>
      <c r="BH4" s="38"/>
      <c r="BI4" s="100" t="s">
        <v>141</v>
      </c>
      <c r="BJ4" s="37"/>
      <c r="BK4" s="37"/>
      <c r="BL4" s="38"/>
      <c r="BM4" s="100" t="s">
        <v>142</v>
      </c>
      <c r="BN4" s="37"/>
      <c r="BO4" s="37"/>
      <c r="BP4" s="37"/>
      <c r="BQ4" s="38"/>
      <c r="BR4" s="100" t="s">
        <v>141</v>
      </c>
      <c r="BS4" s="37"/>
      <c r="BT4" s="37"/>
      <c r="BU4" s="38"/>
      <c r="BV4" s="100" t="s">
        <v>142</v>
      </c>
      <c r="BW4" s="37"/>
      <c r="BX4" s="37"/>
      <c r="BY4" s="37"/>
      <c r="BZ4" s="38"/>
      <c r="CA4" s="100" t="s">
        <v>141</v>
      </c>
      <c r="CB4" s="37"/>
      <c r="CC4" s="37"/>
      <c r="CD4" s="38"/>
      <c r="CE4" s="100" t="s">
        <v>142</v>
      </c>
      <c r="CF4" s="37"/>
      <c r="CG4" s="37"/>
      <c r="CH4" s="37"/>
      <c r="CI4" s="38"/>
      <c r="CJ4" s="100" t="s">
        <v>141</v>
      </c>
      <c r="CK4" s="37"/>
      <c r="CL4" s="37"/>
      <c r="CM4" s="38"/>
      <c r="CN4" s="100" t="s">
        <v>142</v>
      </c>
      <c r="CO4" s="37"/>
      <c r="CP4" s="37"/>
      <c r="CQ4" s="37"/>
      <c r="CR4" s="38"/>
      <c r="CS4" s="100" t="s">
        <v>141</v>
      </c>
      <c r="CT4" s="37"/>
      <c r="CU4" s="37"/>
      <c r="CV4" s="38"/>
      <c r="CW4" s="100" t="s">
        <v>142</v>
      </c>
      <c r="CX4" s="37"/>
      <c r="CY4" s="37"/>
      <c r="CZ4" s="37"/>
      <c r="DA4" s="38"/>
      <c r="DB4" s="100" t="s">
        <v>141</v>
      </c>
      <c r="DC4" s="37"/>
      <c r="DD4" s="37"/>
      <c r="DE4" s="38"/>
      <c r="DF4" s="100" t="s">
        <v>142</v>
      </c>
      <c r="DG4" s="37"/>
      <c r="DH4" s="37"/>
      <c r="DI4" s="37"/>
      <c r="DJ4" s="38"/>
      <c r="DK4" s="49"/>
      <c r="DL4" s="50"/>
    </row>
    <row r="5">
      <c r="B5" s="12"/>
      <c r="C5" s="135"/>
      <c r="F5" s="109"/>
      <c r="G5" s="62" t="s">
        <v>51</v>
      </c>
      <c r="H5" s="62" t="s">
        <v>52</v>
      </c>
      <c r="I5" s="62" t="s">
        <v>53</v>
      </c>
      <c r="J5" s="62" t="s">
        <v>49</v>
      </c>
      <c r="K5" s="49"/>
      <c r="L5" s="50"/>
      <c r="M5" s="49"/>
      <c r="N5" s="11"/>
      <c r="O5" s="50"/>
      <c r="P5" s="139" t="s">
        <v>143</v>
      </c>
      <c r="Q5" s="38"/>
      <c r="R5" s="139" t="s">
        <v>144</v>
      </c>
      <c r="S5" s="38"/>
      <c r="T5" s="140" t="s">
        <v>143</v>
      </c>
      <c r="U5" s="37"/>
      <c r="V5" s="38"/>
      <c r="W5" s="140" t="s">
        <v>144</v>
      </c>
      <c r="X5" s="38"/>
      <c r="Y5" s="139" t="s">
        <v>143</v>
      </c>
      <c r="Z5" s="38"/>
      <c r="AA5" s="139" t="s">
        <v>144</v>
      </c>
      <c r="AB5" s="38"/>
      <c r="AC5" s="140" t="s">
        <v>143</v>
      </c>
      <c r="AD5" s="37"/>
      <c r="AE5" s="38"/>
      <c r="AF5" s="140" t="s">
        <v>144</v>
      </c>
      <c r="AG5" s="38"/>
      <c r="AH5" s="139" t="s">
        <v>143</v>
      </c>
      <c r="AI5" s="38"/>
      <c r="AJ5" s="139" t="s">
        <v>144</v>
      </c>
      <c r="AK5" s="38"/>
      <c r="AL5" s="140" t="s">
        <v>143</v>
      </c>
      <c r="AM5" s="37"/>
      <c r="AN5" s="38"/>
      <c r="AO5" s="140" t="s">
        <v>144</v>
      </c>
      <c r="AP5" s="38"/>
      <c r="AQ5" s="139" t="s">
        <v>143</v>
      </c>
      <c r="AR5" s="38"/>
      <c r="AS5" s="139" t="s">
        <v>144</v>
      </c>
      <c r="AT5" s="38"/>
      <c r="AU5" s="140" t="s">
        <v>143</v>
      </c>
      <c r="AV5" s="37"/>
      <c r="AW5" s="38"/>
      <c r="AX5" s="140" t="s">
        <v>144</v>
      </c>
      <c r="AY5" s="38"/>
      <c r="AZ5" s="139" t="s">
        <v>143</v>
      </c>
      <c r="BA5" s="38"/>
      <c r="BB5" s="139" t="s">
        <v>144</v>
      </c>
      <c r="BC5" s="38"/>
      <c r="BD5" s="140" t="s">
        <v>143</v>
      </c>
      <c r="BE5" s="37"/>
      <c r="BF5" s="38"/>
      <c r="BG5" s="140" t="s">
        <v>144</v>
      </c>
      <c r="BH5" s="38"/>
      <c r="BI5" s="139" t="s">
        <v>143</v>
      </c>
      <c r="BJ5" s="38"/>
      <c r="BK5" s="139" t="s">
        <v>144</v>
      </c>
      <c r="BL5" s="38"/>
      <c r="BM5" s="140" t="s">
        <v>143</v>
      </c>
      <c r="BN5" s="37"/>
      <c r="BO5" s="38"/>
      <c r="BP5" s="140" t="s">
        <v>144</v>
      </c>
      <c r="BQ5" s="38"/>
      <c r="BR5" s="139" t="s">
        <v>143</v>
      </c>
      <c r="BS5" s="38"/>
      <c r="BT5" s="139" t="s">
        <v>144</v>
      </c>
      <c r="BU5" s="38"/>
      <c r="BV5" s="140" t="s">
        <v>143</v>
      </c>
      <c r="BW5" s="37"/>
      <c r="BX5" s="38"/>
      <c r="BY5" s="140" t="s">
        <v>144</v>
      </c>
      <c r="BZ5" s="38"/>
      <c r="CA5" s="139" t="s">
        <v>143</v>
      </c>
      <c r="CB5" s="38"/>
      <c r="CC5" s="139" t="s">
        <v>144</v>
      </c>
      <c r="CD5" s="38"/>
      <c r="CE5" s="140" t="s">
        <v>143</v>
      </c>
      <c r="CF5" s="37"/>
      <c r="CG5" s="38"/>
      <c r="CH5" s="140" t="s">
        <v>144</v>
      </c>
      <c r="CI5" s="38"/>
      <c r="CJ5" s="139" t="s">
        <v>143</v>
      </c>
      <c r="CK5" s="38"/>
      <c r="CL5" s="139" t="s">
        <v>144</v>
      </c>
      <c r="CM5" s="38"/>
      <c r="CN5" s="140" t="s">
        <v>143</v>
      </c>
      <c r="CO5" s="37"/>
      <c r="CP5" s="38"/>
      <c r="CQ5" s="140" t="s">
        <v>144</v>
      </c>
      <c r="CR5" s="38"/>
      <c r="CS5" s="139" t="s">
        <v>143</v>
      </c>
      <c r="CT5" s="38"/>
      <c r="CU5" s="139" t="s">
        <v>144</v>
      </c>
      <c r="CV5" s="38"/>
      <c r="CW5" s="140" t="s">
        <v>143</v>
      </c>
      <c r="CX5" s="37"/>
      <c r="CY5" s="38"/>
      <c r="CZ5" s="140" t="s">
        <v>144</v>
      </c>
      <c r="DA5" s="38"/>
      <c r="DB5" s="139" t="s">
        <v>143</v>
      </c>
      <c r="DC5" s="38"/>
      <c r="DD5" s="139" t="s">
        <v>144</v>
      </c>
      <c r="DE5" s="38"/>
      <c r="DF5" s="140" t="s">
        <v>143</v>
      </c>
      <c r="DG5" s="37"/>
      <c r="DH5" s="38"/>
      <c r="DI5" s="140" t="s">
        <v>144</v>
      </c>
      <c r="DJ5" s="38"/>
      <c r="DK5" s="138" t="s">
        <v>51</v>
      </c>
      <c r="DL5" s="138" t="s">
        <v>49</v>
      </c>
    </row>
    <row r="6">
      <c r="B6" s="18"/>
      <c r="C6" s="49"/>
      <c r="D6" s="11"/>
      <c r="E6" s="11"/>
      <c r="F6" s="50"/>
      <c r="G6" s="18"/>
      <c r="H6" s="18"/>
      <c r="I6" s="18"/>
      <c r="J6" s="18"/>
      <c r="K6" s="143" t="s">
        <v>51</v>
      </c>
      <c r="L6" s="143" t="s">
        <v>49</v>
      </c>
      <c r="M6" s="143" t="s">
        <v>51</v>
      </c>
      <c r="N6" s="143" t="s">
        <v>53</v>
      </c>
      <c r="O6" s="143" t="s">
        <v>49</v>
      </c>
      <c r="P6" s="143" t="s">
        <v>51</v>
      </c>
      <c r="Q6" s="143" t="s">
        <v>49</v>
      </c>
      <c r="R6" s="143" t="s">
        <v>51</v>
      </c>
      <c r="S6" s="143" t="s">
        <v>49</v>
      </c>
      <c r="T6" s="143" t="s">
        <v>51</v>
      </c>
      <c r="U6" s="143" t="s">
        <v>53</v>
      </c>
      <c r="V6" s="143" t="s">
        <v>49</v>
      </c>
      <c r="W6" s="143" t="s">
        <v>51</v>
      </c>
      <c r="X6" s="143" t="s">
        <v>49</v>
      </c>
      <c r="Y6" s="143" t="s">
        <v>51</v>
      </c>
      <c r="Z6" s="143" t="s">
        <v>49</v>
      </c>
      <c r="AA6" s="143" t="s">
        <v>51</v>
      </c>
      <c r="AB6" s="143" t="s">
        <v>49</v>
      </c>
      <c r="AC6" s="143" t="s">
        <v>51</v>
      </c>
      <c r="AD6" s="143" t="s">
        <v>53</v>
      </c>
      <c r="AE6" s="143" t="s">
        <v>49</v>
      </c>
      <c r="AF6" s="143" t="s">
        <v>51</v>
      </c>
      <c r="AG6" s="143" t="s">
        <v>49</v>
      </c>
      <c r="AH6" s="143" t="s">
        <v>51</v>
      </c>
      <c r="AI6" s="143" t="s">
        <v>49</v>
      </c>
      <c r="AJ6" s="143" t="s">
        <v>51</v>
      </c>
      <c r="AK6" s="143" t="s">
        <v>49</v>
      </c>
      <c r="AL6" s="143" t="s">
        <v>51</v>
      </c>
      <c r="AM6" s="143" t="s">
        <v>53</v>
      </c>
      <c r="AN6" s="143" t="s">
        <v>49</v>
      </c>
      <c r="AO6" s="143" t="s">
        <v>51</v>
      </c>
      <c r="AP6" s="143" t="s">
        <v>49</v>
      </c>
      <c r="AQ6" s="143" t="s">
        <v>51</v>
      </c>
      <c r="AR6" s="143" t="s">
        <v>49</v>
      </c>
      <c r="AS6" s="143" t="s">
        <v>51</v>
      </c>
      <c r="AT6" s="143" t="s">
        <v>49</v>
      </c>
      <c r="AU6" s="143" t="s">
        <v>51</v>
      </c>
      <c r="AV6" s="143" t="s">
        <v>53</v>
      </c>
      <c r="AW6" s="143" t="s">
        <v>49</v>
      </c>
      <c r="AX6" s="143" t="s">
        <v>51</v>
      </c>
      <c r="AY6" s="143" t="s">
        <v>49</v>
      </c>
      <c r="AZ6" s="143" t="s">
        <v>51</v>
      </c>
      <c r="BA6" s="143" t="s">
        <v>49</v>
      </c>
      <c r="BB6" s="143" t="s">
        <v>51</v>
      </c>
      <c r="BC6" s="143" t="s">
        <v>49</v>
      </c>
      <c r="BD6" s="143" t="s">
        <v>51</v>
      </c>
      <c r="BE6" s="143" t="s">
        <v>53</v>
      </c>
      <c r="BF6" s="143" t="s">
        <v>49</v>
      </c>
      <c r="BG6" s="143" t="s">
        <v>51</v>
      </c>
      <c r="BH6" s="143" t="s">
        <v>49</v>
      </c>
      <c r="BI6" s="143" t="s">
        <v>51</v>
      </c>
      <c r="BJ6" s="143" t="s">
        <v>49</v>
      </c>
      <c r="BK6" s="143" t="s">
        <v>51</v>
      </c>
      <c r="BL6" s="143" t="s">
        <v>49</v>
      </c>
      <c r="BM6" s="143" t="s">
        <v>51</v>
      </c>
      <c r="BN6" s="143" t="s">
        <v>53</v>
      </c>
      <c r="BO6" s="143" t="s">
        <v>49</v>
      </c>
      <c r="BP6" s="143" t="s">
        <v>51</v>
      </c>
      <c r="BQ6" s="143" t="s">
        <v>49</v>
      </c>
      <c r="BR6" s="143" t="s">
        <v>51</v>
      </c>
      <c r="BS6" s="143" t="s">
        <v>49</v>
      </c>
      <c r="BT6" s="143" t="s">
        <v>51</v>
      </c>
      <c r="BU6" s="143" t="s">
        <v>49</v>
      </c>
      <c r="BV6" s="143" t="s">
        <v>51</v>
      </c>
      <c r="BW6" s="143" t="s">
        <v>53</v>
      </c>
      <c r="BX6" s="143" t="s">
        <v>49</v>
      </c>
      <c r="BY6" s="143" t="s">
        <v>51</v>
      </c>
      <c r="BZ6" s="143" t="s">
        <v>49</v>
      </c>
      <c r="CA6" s="143" t="s">
        <v>51</v>
      </c>
      <c r="CB6" s="143" t="s">
        <v>49</v>
      </c>
      <c r="CC6" s="143" t="s">
        <v>51</v>
      </c>
      <c r="CD6" s="143" t="s">
        <v>49</v>
      </c>
      <c r="CE6" s="143" t="s">
        <v>51</v>
      </c>
      <c r="CF6" s="143" t="s">
        <v>53</v>
      </c>
      <c r="CG6" s="143" t="s">
        <v>49</v>
      </c>
      <c r="CH6" s="143" t="s">
        <v>51</v>
      </c>
      <c r="CI6" s="143" t="s">
        <v>49</v>
      </c>
      <c r="CJ6" s="143" t="s">
        <v>51</v>
      </c>
      <c r="CK6" s="143" t="s">
        <v>49</v>
      </c>
      <c r="CL6" s="143" t="s">
        <v>51</v>
      </c>
      <c r="CM6" s="143" t="s">
        <v>49</v>
      </c>
      <c r="CN6" s="143" t="s">
        <v>51</v>
      </c>
      <c r="CO6" s="143" t="s">
        <v>53</v>
      </c>
      <c r="CP6" s="143" t="s">
        <v>49</v>
      </c>
      <c r="CQ6" s="143" t="s">
        <v>51</v>
      </c>
      <c r="CR6" s="143" t="s">
        <v>49</v>
      </c>
      <c r="CS6" s="143" t="s">
        <v>51</v>
      </c>
      <c r="CT6" s="143" t="s">
        <v>49</v>
      </c>
      <c r="CU6" s="143" t="s">
        <v>51</v>
      </c>
      <c r="CV6" s="143" t="s">
        <v>49</v>
      </c>
      <c r="CW6" s="143" t="s">
        <v>51</v>
      </c>
      <c r="CX6" s="143" t="s">
        <v>53</v>
      </c>
      <c r="CY6" s="143" t="s">
        <v>49</v>
      </c>
      <c r="CZ6" s="143" t="s">
        <v>51</v>
      </c>
      <c r="DA6" s="143" t="s">
        <v>49</v>
      </c>
      <c r="DB6" s="143" t="s">
        <v>51</v>
      </c>
      <c r="DC6" s="143" t="s">
        <v>49</v>
      </c>
      <c r="DD6" s="143" t="s">
        <v>51</v>
      </c>
      <c r="DE6" s="143" t="s">
        <v>49</v>
      </c>
      <c r="DF6" s="143" t="s">
        <v>51</v>
      </c>
      <c r="DG6" s="143" t="s">
        <v>53</v>
      </c>
      <c r="DH6" s="143" t="s">
        <v>49</v>
      </c>
      <c r="DI6" s="143" t="s">
        <v>51</v>
      </c>
      <c r="DJ6" s="143" t="s">
        <v>49</v>
      </c>
      <c r="DK6" s="18"/>
      <c r="DL6" s="18"/>
    </row>
    <row r="7">
      <c r="A7" s="66"/>
      <c r="B7" s="143">
        <v>1.0</v>
      </c>
      <c r="C7" s="139">
        <v>2.0</v>
      </c>
      <c r="D7" s="37"/>
      <c r="E7" s="37"/>
      <c r="F7" s="38"/>
      <c r="G7" s="143">
        <v>3.0</v>
      </c>
      <c r="H7" s="143">
        <v>4.0</v>
      </c>
      <c r="I7" s="143">
        <v>5.0</v>
      </c>
      <c r="J7" s="143">
        <v>4.0</v>
      </c>
      <c r="K7" s="143">
        <v>5.0</v>
      </c>
      <c r="L7" s="143">
        <v>6.0</v>
      </c>
      <c r="M7" s="143">
        <v>7.0</v>
      </c>
      <c r="N7" s="143">
        <v>8.0</v>
      </c>
      <c r="O7" s="143">
        <v>9.0</v>
      </c>
      <c r="P7" s="143">
        <v>10.0</v>
      </c>
      <c r="Q7" s="143">
        <v>11.0</v>
      </c>
      <c r="R7" s="143">
        <f t="shared" ref="R7:DL7" si="1">Q7+1</f>
        <v>12</v>
      </c>
      <c r="S7" s="143">
        <f t="shared" si="1"/>
        <v>13</v>
      </c>
      <c r="T7" s="143">
        <f t="shared" si="1"/>
        <v>14</v>
      </c>
      <c r="U7" s="143">
        <f t="shared" si="1"/>
        <v>15</v>
      </c>
      <c r="V7" s="143">
        <f t="shared" si="1"/>
        <v>16</v>
      </c>
      <c r="W7" s="143">
        <f t="shared" si="1"/>
        <v>17</v>
      </c>
      <c r="X7" s="143">
        <f t="shared" si="1"/>
        <v>18</v>
      </c>
      <c r="Y7" s="143">
        <f t="shared" si="1"/>
        <v>19</v>
      </c>
      <c r="Z7" s="143">
        <f t="shared" si="1"/>
        <v>20</v>
      </c>
      <c r="AA7" s="143">
        <f t="shared" si="1"/>
        <v>21</v>
      </c>
      <c r="AB7" s="143">
        <f t="shared" si="1"/>
        <v>22</v>
      </c>
      <c r="AC7" s="143">
        <f t="shared" si="1"/>
        <v>23</v>
      </c>
      <c r="AD7" s="143">
        <f t="shared" si="1"/>
        <v>24</v>
      </c>
      <c r="AE7" s="143">
        <f t="shared" si="1"/>
        <v>25</v>
      </c>
      <c r="AF7" s="143">
        <f t="shared" si="1"/>
        <v>26</v>
      </c>
      <c r="AG7" s="143">
        <f t="shared" si="1"/>
        <v>27</v>
      </c>
      <c r="AH7" s="143">
        <f t="shared" si="1"/>
        <v>28</v>
      </c>
      <c r="AI7" s="143">
        <f t="shared" si="1"/>
        <v>29</v>
      </c>
      <c r="AJ7" s="143">
        <f t="shared" si="1"/>
        <v>30</v>
      </c>
      <c r="AK7" s="143">
        <f t="shared" si="1"/>
        <v>31</v>
      </c>
      <c r="AL7" s="143">
        <f t="shared" si="1"/>
        <v>32</v>
      </c>
      <c r="AM7" s="143">
        <f t="shared" si="1"/>
        <v>33</v>
      </c>
      <c r="AN7" s="143">
        <f t="shared" si="1"/>
        <v>34</v>
      </c>
      <c r="AO7" s="143">
        <f t="shared" si="1"/>
        <v>35</v>
      </c>
      <c r="AP7" s="143">
        <f t="shared" si="1"/>
        <v>36</v>
      </c>
      <c r="AQ7" s="143">
        <f t="shared" si="1"/>
        <v>37</v>
      </c>
      <c r="AR7" s="143">
        <f t="shared" si="1"/>
        <v>38</v>
      </c>
      <c r="AS7" s="143">
        <f t="shared" si="1"/>
        <v>39</v>
      </c>
      <c r="AT7" s="143">
        <f t="shared" si="1"/>
        <v>40</v>
      </c>
      <c r="AU7" s="143">
        <f t="shared" si="1"/>
        <v>41</v>
      </c>
      <c r="AV7" s="143">
        <f t="shared" si="1"/>
        <v>42</v>
      </c>
      <c r="AW7" s="143">
        <f t="shared" si="1"/>
        <v>43</v>
      </c>
      <c r="AX7" s="143">
        <f t="shared" si="1"/>
        <v>44</v>
      </c>
      <c r="AY7" s="143">
        <f t="shared" si="1"/>
        <v>45</v>
      </c>
      <c r="AZ7" s="143">
        <f t="shared" si="1"/>
        <v>46</v>
      </c>
      <c r="BA7" s="143">
        <f t="shared" si="1"/>
        <v>47</v>
      </c>
      <c r="BB7" s="143">
        <f t="shared" si="1"/>
        <v>48</v>
      </c>
      <c r="BC7" s="143">
        <f t="shared" si="1"/>
        <v>49</v>
      </c>
      <c r="BD7" s="143">
        <f t="shared" si="1"/>
        <v>50</v>
      </c>
      <c r="BE7" s="143">
        <f t="shared" si="1"/>
        <v>51</v>
      </c>
      <c r="BF7" s="143">
        <f t="shared" si="1"/>
        <v>52</v>
      </c>
      <c r="BG7" s="143">
        <f t="shared" si="1"/>
        <v>53</v>
      </c>
      <c r="BH7" s="143">
        <f t="shared" si="1"/>
        <v>54</v>
      </c>
      <c r="BI7" s="143">
        <f t="shared" si="1"/>
        <v>55</v>
      </c>
      <c r="BJ7" s="143">
        <f t="shared" si="1"/>
        <v>56</v>
      </c>
      <c r="BK7" s="143">
        <f t="shared" si="1"/>
        <v>57</v>
      </c>
      <c r="BL7" s="143">
        <f t="shared" si="1"/>
        <v>58</v>
      </c>
      <c r="BM7" s="143">
        <f t="shared" si="1"/>
        <v>59</v>
      </c>
      <c r="BN7" s="143">
        <f t="shared" si="1"/>
        <v>60</v>
      </c>
      <c r="BO7" s="143">
        <f t="shared" si="1"/>
        <v>61</v>
      </c>
      <c r="BP7" s="143">
        <f t="shared" si="1"/>
        <v>62</v>
      </c>
      <c r="BQ7" s="143">
        <f t="shared" si="1"/>
        <v>63</v>
      </c>
      <c r="BR7" s="143">
        <f t="shared" si="1"/>
        <v>64</v>
      </c>
      <c r="BS7" s="143">
        <f t="shared" si="1"/>
        <v>65</v>
      </c>
      <c r="BT7" s="143">
        <f t="shared" si="1"/>
        <v>66</v>
      </c>
      <c r="BU7" s="143">
        <f t="shared" si="1"/>
        <v>67</v>
      </c>
      <c r="BV7" s="143">
        <f t="shared" si="1"/>
        <v>68</v>
      </c>
      <c r="BW7" s="143">
        <f t="shared" si="1"/>
        <v>69</v>
      </c>
      <c r="BX7" s="143">
        <f t="shared" si="1"/>
        <v>70</v>
      </c>
      <c r="BY7" s="143">
        <f t="shared" si="1"/>
        <v>71</v>
      </c>
      <c r="BZ7" s="143">
        <f t="shared" si="1"/>
        <v>72</v>
      </c>
      <c r="CA7" s="143">
        <f t="shared" si="1"/>
        <v>73</v>
      </c>
      <c r="CB7" s="143">
        <f t="shared" si="1"/>
        <v>74</v>
      </c>
      <c r="CC7" s="143">
        <f t="shared" si="1"/>
        <v>75</v>
      </c>
      <c r="CD7" s="143">
        <f t="shared" si="1"/>
        <v>76</v>
      </c>
      <c r="CE7" s="143">
        <f t="shared" si="1"/>
        <v>77</v>
      </c>
      <c r="CF7" s="143">
        <f t="shared" si="1"/>
        <v>78</v>
      </c>
      <c r="CG7" s="143">
        <f t="shared" si="1"/>
        <v>79</v>
      </c>
      <c r="CH7" s="143">
        <f t="shared" si="1"/>
        <v>80</v>
      </c>
      <c r="CI7" s="143">
        <f t="shared" si="1"/>
        <v>81</v>
      </c>
      <c r="CJ7" s="143">
        <f t="shared" si="1"/>
        <v>82</v>
      </c>
      <c r="CK7" s="143">
        <f t="shared" si="1"/>
        <v>83</v>
      </c>
      <c r="CL7" s="143">
        <f t="shared" si="1"/>
        <v>84</v>
      </c>
      <c r="CM7" s="143">
        <f t="shared" si="1"/>
        <v>85</v>
      </c>
      <c r="CN7" s="143">
        <f t="shared" si="1"/>
        <v>86</v>
      </c>
      <c r="CO7" s="143">
        <f t="shared" si="1"/>
        <v>87</v>
      </c>
      <c r="CP7" s="143">
        <f t="shared" si="1"/>
        <v>88</v>
      </c>
      <c r="CQ7" s="143">
        <f t="shared" si="1"/>
        <v>89</v>
      </c>
      <c r="CR7" s="143">
        <f t="shared" si="1"/>
        <v>90</v>
      </c>
      <c r="CS7" s="143">
        <f t="shared" si="1"/>
        <v>91</v>
      </c>
      <c r="CT7" s="143">
        <f t="shared" si="1"/>
        <v>92</v>
      </c>
      <c r="CU7" s="143">
        <f t="shared" si="1"/>
        <v>93</v>
      </c>
      <c r="CV7" s="143">
        <f t="shared" si="1"/>
        <v>94</v>
      </c>
      <c r="CW7" s="143">
        <f t="shared" si="1"/>
        <v>95</v>
      </c>
      <c r="CX7" s="143">
        <f t="shared" si="1"/>
        <v>96</v>
      </c>
      <c r="CY7" s="143">
        <f t="shared" si="1"/>
        <v>97</v>
      </c>
      <c r="CZ7" s="143">
        <f t="shared" si="1"/>
        <v>98</v>
      </c>
      <c r="DA7" s="143">
        <f t="shared" si="1"/>
        <v>99</v>
      </c>
      <c r="DB7" s="143">
        <f t="shared" si="1"/>
        <v>100</v>
      </c>
      <c r="DC7" s="143">
        <f t="shared" si="1"/>
        <v>101</v>
      </c>
      <c r="DD7" s="143">
        <f t="shared" si="1"/>
        <v>102</v>
      </c>
      <c r="DE7" s="143">
        <f t="shared" si="1"/>
        <v>103</v>
      </c>
      <c r="DF7" s="177">
        <f t="shared" si="1"/>
        <v>104</v>
      </c>
      <c r="DG7" s="177">
        <f t="shared" si="1"/>
        <v>105</v>
      </c>
      <c r="DH7" s="177">
        <f t="shared" si="1"/>
        <v>106</v>
      </c>
      <c r="DI7" s="177">
        <f t="shared" si="1"/>
        <v>107</v>
      </c>
      <c r="DJ7" s="177">
        <f t="shared" si="1"/>
        <v>108</v>
      </c>
      <c r="DK7" s="177">
        <f t="shared" si="1"/>
        <v>109</v>
      </c>
      <c r="DL7" s="177">
        <f t="shared" si="1"/>
        <v>110</v>
      </c>
    </row>
    <row r="8">
      <c r="A8" s="72"/>
      <c r="B8" s="178">
        <f>PLGK!B10</f>
        <v>5</v>
      </c>
      <c r="C8" s="179" t="str">
        <f>PLGK!C10</f>
        <v>BELANJA DAERAH</v>
      </c>
      <c r="D8" s="180"/>
      <c r="E8" s="180"/>
      <c r="F8" s="181"/>
      <c r="G8" s="182"/>
      <c r="H8" s="182"/>
      <c r="I8" s="183"/>
      <c r="J8" s="184">
        <f>PLGK!J10</f>
        <v>94371800</v>
      </c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5"/>
      <c r="CG8" s="185"/>
      <c r="CH8" s="185"/>
      <c r="CI8" s="185"/>
      <c r="CJ8" s="185"/>
      <c r="CK8" s="185"/>
      <c r="CL8" s="185"/>
      <c r="CM8" s="185"/>
      <c r="CN8" s="185"/>
      <c r="CO8" s="185"/>
      <c r="CP8" s="185"/>
      <c r="CQ8" s="185"/>
      <c r="CR8" s="185"/>
      <c r="CS8" s="185"/>
      <c r="CT8" s="185"/>
      <c r="CU8" s="185"/>
      <c r="CV8" s="185"/>
      <c r="CW8" s="185"/>
      <c r="CX8" s="185"/>
      <c r="CY8" s="185"/>
      <c r="CZ8" s="185"/>
      <c r="DA8" s="185"/>
      <c r="DB8" s="185"/>
      <c r="DC8" s="185"/>
      <c r="DD8" s="185"/>
      <c r="DE8" s="185"/>
      <c r="DF8" s="185"/>
      <c r="DG8" s="185"/>
      <c r="DH8" s="185"/>
      <c r="DI8" s="185"/>
      <c r="DJ8" s="185"/>
      <c r="DK8" s="186"/>
      <c r="DL8" s="185"/>
    </row>
    <row r="9">
      <c r="A9" s="72"/>
      <c r="B9" s="178" t="str">
        <f>PLGK!B11</f>
        <v>5.1</v>
      </c>
      <c r="C9" s="179" t="str">
        <f>PLGK!C11</f>
        <v>BELANJA OPERASI</v>
      </c>
      <c r="D9" s="180"/>
      <c r="E9" s="180"/>
      <c r="F9" s="181"/>
      <c r="G9" s="182"/>
      <c r="H9" s="182"/>
      <c r="I9" s="183"/>
      <c r="J9" s="184">
        <f>PLGK!J11</f>
        <v>32999400</v>
      </c>
      <c r="K9" s="185"/>
      <c r="L9" s="101"/>
      <c r="M9" s="185"/>
      <c r="N9" s="185"/>
      <c r="O9" s="101"/>
      <c r="P9" s="185"/>
      <c r="Q9" s="101"/>
      <c r="R9" s="185"/>
      <c r="S9" s="101"/>
      <c r="T9" s="185"/>
      <c r="U9" s="185"/>
      <c r="V9" s="101"/>
      <c r="W9" s="185"/>
      <c r="X9" s="101"/>
      <c r="Y9" s="185"/>
      <c r="Z9" s="101"/>
      <c r="AA9" s="185"/>
      <c r="AB9" s="101"/>
      <c r="AC9" s="185"/>
      <c r="AD9" s="185"/>
      <c r="AE9" s="101"/>
      <c r="AF9" s="185"/>
      <c r="AG9" s="101"/>
      <c r="AH9" s="185"/>
      <c r="AI9" s="101"/>
      <c r="AJ9" s="185"/>
      <c r="AK9" s="101"/>
      <c r="AL9" s="185"/>
      <c r="AM9" s="185"/>
      <c r="AN9" s="101"/>
      <c r="AO9" s="185"/>
      <c r="AP9" s="101"/>
      <c r="AQ9" s="185"/>
      <c r="AR9" s="101"/>
      <c r="AS9" s="185"/>
      <c r="AT9" s="101"/>
      <c r="AU9" s="185"/>
      <c r="AV9" s="185"/>
      <c r="AW9" s="101"/>
      <c r="AX9" s="185"/>
      <c r="AY9" s="101"/>
      <c r="AZ9" s="185"/>
      <c r="BA9" s="101"/>
      <c r="BB9" s="185"/>
      <c r="BC9" s="101"/>
      <c r="BD9" s="185"/>
      <c r="BE9" s="185"/>
      <c r="BF9" s="101"/>
      <c r="BG9" s="185"/>
      <c r="BH9" s="101"/>
      <c r="BI9" s="185"/>
      <c r="BJ9" s="101"/>
      <c r="BK9" s="185"/>
      <c r="BL9" s="101"/>
      <c r="BM9" s="185"/>
      <c r="BN9" s="185"/>
      <c r="BO9" s="101"/>
      <c r="BP9" s="185"/>
      <c r="BQ9" s="101"/>
      <c r="BR9" s="185"/>
      <c r="BS9" s="101"/>
      <c r="BT9" s="185"/>
      <c r="BU9" s="101"/>
      <c r="BV9" s="185"/>
      <c r="BW9" s="185"/>
      <c r="BX9" s="101"/>
      <c r="BY9" s="185"/>
      <c r="BZ9" s="101"/>
      <c r="CA9" s="185"/>
      <c r="CB9" s="101"/>
      <c r="CC9" s="185"/>
      <c r="CD9" s="101"/>
      <c r="CE9" s="185"/>
      <c r="CF9" s="185"/>
      <c r="CG9" s="101"/>
      <c r="CH9" s="185"/>
      <c r="CI9" s="101"/>
      <c r="CJ9" s="185"/>
      <c r="CK9" s="101"/>
      <c r="CL9" s="185"/>
      <c r="CM9" s="101"/>
      <c r="CN9" s="185"/>
      <c r="CO9" s="185"/>
      <c r="CP9" s="101"/>
      <c r="CQ9" s="185"/>
      <c r="CR9" s="101"/>
      <c r="CS9" s="185"/>
      <c r="CT9" s="101"/>
      <c r="CU9" s="185"/>
      <c r="CV9" s="101"/>
      <c r="CW9" s="185"/>
      <c r="CX9" s="185"/>
      <c r="CY9" s="101"/>
      <c r="CZ9" s="185"/>
      <c r="DA9" s="101"/>
      <c r="DB9" s="185"/>
      <c r="DC9" s="101"/>
      <c r="DD9" s="185"/>
      <c r="DE9" s="101"/>
      <c r="DF9" s="185"/>
      <c r="DG9" s="185"/>
      <c r="DH9" s="101"/>
      <c r="DI9" s="185"/>
      <c r="DJ9" s="101"/>
      <c r="DK9" s="186"/>
      <c r="DL9" s="101"/>
    </row>
    <row r="10">
      <c r="A10" s="72"/>
      <c r="B10" s="178"/>
      <c r="C10" s="179"/>
      <c r="D10" s="180"/>
      <c r="E10" s="180"/>
      <c r="F10" s="181"/>
      <c r="G10" s="182"/>
      <c r="H10" s="182"/>
      <c r="I10" s="183"/>
      <c r="J10" s="184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5"/>
      <c r="BU10" s="185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6"/>
      <c r="DL10" s="185"/>
    </row>
    <row r="11">
      <c r="A11" s="72"/>
      <c r="B11" s="178" t="str">
        <f>PLGK!B13</f>
        <v> 5.2.2.</v>
      </c>
      <c r="C11" s="179" t="str">
        <f>PLGK!C13</f>
        <v> Belanja Barang dan Jasa</v>
      </c>
      <c r="D11" s="180"/>
      <c r="E11" s="180"/>
      <c r="F11" s="181"/>
      <c r="G11" s="182"/>
      <c r="H11" s="182"/>
      <c r="I11" s="183"/>
      <c r="J11" s="184">
        <f>PLGK!J13</f>
        <v>32999400</v>
      </c>
      <c r="K11" s="185"/>
      <c r="L11" s="101"/>
      <c r="M11" s="185"/>
      <c r="N11" s="185"/>
      <c r="O11" s="101"/>
      <c r="P11" s="185"/>
      <c r="Q11" s="101"/>
      <c r="R11" s="185"/>
      <c r="S11" s="101"/>
      <c r="T11" s="185"/>
      <c r="U11" s="185"/>
      <c r="V11" s="101"/>
      <c r="W11" s="185"/>
      <c r="X11" s="101"/>
      <c r="Y11" s="185"/>
      <c r="Z11" s="101"/>
      <c r="AA11" s="185"/>
      <c r="AB11" s="101"/>
      <c r="AC11" s="185"/>
      <c r="AD11" s="185"/>
      <c r="AE11" s="101"/>
      <c r="AF11" s="185"/>
      <c r="AG11" s="101"/>
      <c r="AH11" s="185"/>
      <c r="AI11" s="101"/>
      <c r="AJ11" s="185"/>
      <c r="AK11" s="101"/>
      <c r="AL11" s="185"/>
      <c r="AM11" s="185"/>
      <c r="AN11" s="101"/>
      <c r="AO11" s="185"/>
      <c r="AP11" s="101"/>
      <c r="AQ11" s="185"/>
      <c r="AR11" s="101"/>
      <c r="AS11" s="185"/>
      <c r="AT11" s="101"/>
      <c r="AU11" s="185"/>
      <c r="AV11" s="185"/>
      <c r="AW11" s="101"/>
      <c r="AX11" s="185"/>
      <c r="AY11" s="101"/>
      <c r="AZ11" s="185"/>
      <c r="BA11" s="101"/>
      <c r="BB11" s="185"/>
      <c r="BC11" s="101"/>
      <c r="BD11" s="185"/>
      <c r="BE11" s="185"/>
      <c r="BF11" s="101"/>
      <c r="BG11" s="185"/>
      <c r="BH11" s="101"/>
      <c r="BI11" s="185"/>
      <c r="BJ11" s="101"/>
      <c r="BK11" s="185"/>
      <c r="BL11" s="101"/>
      <c r="BM11" s="185"/>
      <c r="BN11" s="185"/>
      <c r="BO11" s="101"/>
      <c r="BP11" s="185"/>
      <c r="BQ11" s="101"/>
      <c r="BR11" s="185"/>
      <c r="BS11" s="101"/>
      <c r="BT11" s="185"/>
      <c r="BU11" s="101"/>
      <c r="BV11" s="185"/>
      <c r="BW11" s="185"/>
      <c r="BX11" s="101"/>
      <c r="BY11" s="185"/>
      <c r="BZ11" s="101"/>
      <c r="CA11" s="185"/>
      <c r="CB11" s="101"/>
      <c r="CC11" s="185"/>
      <c r="CD11" s="101"/>
      <c r="CE11" s="185"/>
      <c r="CF11" s="185"/>
      <c r="CG11" s="101"/>
      <c r="CH11" s="185"/>
      <c r="CI11" s="101"/>
      <c r="CJ11" s="185"/>
      <c r="CK11" s="101"/>
      <c r="CL11" s="185"/>
      <c r="CM11" s="101"/>
      <c r="CN11" s="185"/>
      <c r="CO11" s="185"/>
      <c r="CP11" s="101"/>
      <c r="CQ11" s="185"/>
      <c r="CR11" s="101"/>
      <c r="CS11" s="185"/>
      <c r="CT11" s="101"/>
      <c r="CU11" s="185"/>
      <c r="CV11" s="101"/>
      <c r="CW11" s="185"/>
      <c r="CX11" s="185"/>
      <c r="CY11" s="101"/>
      <c r="CZ11" s="185"/>
      <c r="DA11" s="101"/>
      <c r="DB11" s="185"/>
      <c r="DC11" s="101"/>
      <c r="DD11" s="185"/>
      <c r="DE11" s="101"/>
      <c r="DF11" s="185"/>
      <c r="DG11" s="185"/>
      <c r="DH11" s="101"/>
      <c r="DI11" s="185"/>
      <c r="DJ11" s="101"/>
      <c r="DK11" s="186"/>
      <c r="DL11" s="101"/>
    </row>
    <row r="12">
      <c r="A12" s="72"/>
      <c r="B12" s="178"/>
      <c r="C12" s="179"/>
      <c r="D12" s="180"/>
      <c r="E12" s="180"/>
      <c r="F12" s="181"/>
      <c r="G12" s="182"/>
      <c r="H12" s="182"/>
      <c r="I12" s="183"/>
      <c r="J12" s="184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5"/>
      <c r="BM12" s="185"/>
      <c r="BN12" s="185"/>
      <c r="BO12" s="185"/>
      <c r="BP12" s="185"/>
      <c r="BQ12" s="185"/>
      <c r="BR12" s="185"/>
      <c r="BS12" s="185"/>
      <c r="BT12" s="185"/>
      <c r="BU12" s="185"/>
      <c r="BV12" s="185"/>
      <c r="BW12" s="185"/>
      <c r="BX12" s="185"/>
      <c r="BY12" s="185"/>
      <c r="BZ12" s="185"/>
      <c r="CA12" s="185"/>
      <c r="CB12" s="185"/>
      <c r="CC12" s="185"/>
      <c r="CD12" s="185"/>
      <c r="CE12" s="185"/>
      <c r="CF12" s="185"/>
      <c r="CG12" s="185"/>
      <c r="CH12" s="185"/>
      <c r="CI12" s="185"/>
      <c r="CJ12" s="185"/>
      <c r="CK12" s="185"/>
      <c r="CL12" s="185"/>
      <c r="CM12" s="185"/>
      <c r="CN12" s="185"/>
      <c r="CO12" s="185"/>
      <c r="CP12" s="185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185"/>
      <c r="DC12" s="185"/>
      <c r="DD12" s="185"/>
      <c r="DE12" s="185"/>
      <c r="DF12" s="185"/>
      <c r="DG12" s="185"/>
      <c r="DH12" s="185"/>
      <c r="DI12" s="185"/>
      <c r="DJ12" s="185"/>
      <c r="DK12" s="186"/>
      <c r="DL12" s="185"/>
    </row>
    <row r="13">
      <c r="A13" s="72"/>
      <c r="B13" s="178" t="str">
        <f>PLGK!B15</f>
        <v> 5.2.2.01</v>
      </c>
      <c r="C13" s="179" t="str">
        <f>PLGK!C15</f>
        <v>Belanja Bahan Pakai Habis</v>
      </c>
      <c r="D13" s="180"/>
      <c r="E13" s="180"/>
      <c r="F13" s="181"/>
      <c r="G13" s="182"/>
      <c r="H13" s="182"/>
      <c r="I13" s="183"/>
      <c r="J13" s="184">
        <f>PLGK!J15</f>
        <v>1791400</v>
      </c>
      <c r="K13" s="185"/>
      <c r="L13" s="101"/>
      <c r="M13" s="185"/>
      <c r="N13" s="185"/>
      <c r="O13" s="101"/>
      <c r="P13" s="185"/>
      <c r="Q13" s="101"/>
      <c r="R13" s="185"/>
      <c r="S13" s="101"/>
      <c r="T13" s="185"/>
      <c r="U13" s="185"/>
      <c r="V13" s="101"/>
      <c r="W13" s="185"/>
      <c r="X13" s="101"/>
      <c r="Y13" s="185"/>
      <c r="Z13" s="101"/>
      <c r="AA13" s="185"/>
      <c r="AB13" s="101"/>
      <c r="AC13" s="185"/>
      <c r="AD13" s="185"/>
      <c r="AE13" s="101"/>
      <c r="AF13" s="185"/>
      <c r="AG13" s="101"/>
      <c r="AH13" s="185"/>
      <c r="AI13" s="101"/>
      <c r="AJ13" s="185"/>
      <c r="AK13" s="101"/>
      <c r="AL13" s="185"/>
      <c r="AM13" s="185"/>
      <c r="AN13" s="101"/>
      <c r="AO13" s="185"/>
      <c r="AP13" s="101"/>
      <c r="AQ13" s="185"/>
      <c r="AR13" s="101"/>
      <c r="AS13" s="185"/>
      <c r="AT13" s="101"/>
      <c r="AU13" s="185"/>
      <c r="AV13" s="185"/>
      <c r="AW13" s="101"/>
      <c r="AX13" s="185"/>
      <c r="AY13" s="101"/>
      <c r="AZ13" s="185"/>
      <c r="BA13" s="101"/>
      <c r="BB13" s="185"/>
      <c r="BC13" s="101"/>
      <c r="BD13" s="185"/>
      <c r="BE13" s="185"/>
      <c r="BF13" s="101"/>
      <c r="BG13" s="185"/>
      <c r="BH13" s="101"/>
      <c r="BI13" s="185"/>
      <c r="BJ13" s="101"/>
      <c r="BK13" s="185"/>
      <c r="BL13" s="101"/>
      <c r="BM13" s="185"/>
      <c r="BN13" s="185"/>
      <c r="BO13" s="101"/>
      <c r="BP13" s="185"/>
      <c r="BQ13" s="101"/>
      <c r="BR13" s="185"/>
      <c r="BS13" s="101"/>
      <c r="BT13" s="185"/>
      <c r="BU13" s="101"/>
      <c r="BV13" s="185"/>
      <c r="BW13" s="185"/>
      <c r="BX13" s="101"/>
      <c r="BY13" s="185"/>
      <c r="BZ13" s="101"/>
      <c r="CA13" s="185"/>
      <c r="CB13" s="101"/>
      <c r="CC13" s="185"/>
      <c r="CD13" s="101"/>
      <c r="CE13" s="185"/>
      <c r="CF13" s="185"/>
      <c r="CG13" s="101"/>
      <c r="CH13" s="185"/>
      <c r="CI13" s="101"/>
      <c r="CJ13" s="185"/>
      <c r="CK13" s="101"/>
      <c r="CL13" s="185"/>
      <c r="CM13" s="101"/>
      <c r="CN13" s="185"/>
      <c r="CO13" s="185"/>
      <c r="CP13" s="101"/>
      <c r="CQ13" s="185"/>
      <c r="CR13" s="101"/>
      <c r="CS13" s="185"/>
      <c r="CT13" s="101"/>
      <c r="CU13" s="185"/>
      <c r="CV13" s="101"/>
      <c r="CW13" s="185"/>
      <c r="CX13" s="185"/>
      <c r="CY13" s="101"/>
      <c r="CZ13" s="185"/>
      <c r="DA13" s="101"/>
      <c r="DB13" s="185"/>
      <c r="DC13" s="101"/>
      <c r="DD13" s="185"/>
      <c r="DE13" s="101"/>
      <c r="DF13" s="185"/>
      <c r="DG13" s="185"/>
      <c r="DH13" s="101"/>
      <c r="DI13" s="185"/>
      <c r="DJ13" s="101"/>
      <c r="DK13" s="186"/>
      <c r="DL13" s="101"/>
    </row>
    <row r="14">
      <c r="A14" s="72"/>
      <c r="B14" s="178"/>
      <c r="C14" s="179"/>
      <c r="D14" s="180"/>
      <c r="E14" s="180"/>
      <c r="F14" s="181"/>
      <c r="G14" s="182"/>
      <c r="H14" s="182"/>
      <c r="I14" s="183"/>
      <c r="J14" s="184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5"/>
      <c r="DH14" s="185"/>
      <c r="DI14" s="185"/>
      <c r="DJ14" s="185"/>
      <c r="DK14" s="186"/>
      <c r="DL14" s="185"/>
    </row>
    <row r="15">
      <c r="A15" s="187"/>
      <c r="B15" s="178" t="str">
        <f>PLGK!B17</f>
        <v>5.1.02.01.01.0024</v>
      </c>
      <c r="C15" s="179" t="str">
        <f>PLGK!C17</f>
        <v>Belanja Alat/Bahan untuk Kegiatan Kantor-Alat Tulis Kantor</v>
      </c>
      <c r="D15" s="180"/>
      <c r="E15" s="180"/>
      <c r="F15" s="181"/>
      <c r="G15" s="182"/>
      <c r="H15" s="182"/>
      <c r="I15" s="183"/>
      <c r="J15" s="184">
        <f>PLGK!J17</f>
        <v>656000</v>
      </c>
      <c r="K15" s="188"/>
      <c r="L15" s="189"/>
      <c r="M15" s="190"/>
      <c r="N15" s="189"/>
      <c r="O15" s="189"/>
      <c r="P15" s="188"/>
      <c r="Q15" s="189"/>
      <c r="R15" s="188"/>
      <c r="S15" s="189"/>
      <c r="T15" s="190"/>
      <c r="U15" s="189"/>
      <c r="V15" s="189"/>
      <c r="W15" s="188"/>
      <c r="X15" s="189"/>
      <c r="Y15" s="188"/>
      <c r="Z15" s="189"/>
      <c r="AA15" s="188"/>
      <c r="AB15" s="189"/>
      <c r="AC15" s="190"/>
      <c r="AD15" s="191"/>
      <c r="AE15" s="192"/>
      <c r="AF15" s="188"/>
      <c r="AG15" s="189"/>
      <c r="AH15" s="188"/>
      <c r="AI15" s="189"/>
      <c r="AJ15" s="188"/>
      <c r="AK15" s="189"/>
      <c r="AL15" s="190"/>
      <c r="AM15" s="191"/>
      <c r="AN15" s="192"/>
      <c r="AO15" s="188"/>
      <c r="AP15" s="189"/>
      <c r="AQ15" s="188"/>
      <c r="AR15" s="189"/>
      <c r="AS15" s="188"/>
      <c r="AT15" s="189"/>
      <c r="AU15" s="190"/>
      <c r="AV15" s="191"/>
      <c r="AW15" s="192"/>
      <c r="AX15" s="188"/>
      <c r="AY15" s="189"/>
      <c r="AZ15" s="188"/>
      <c r="BA15" s="189"/>
      <c r="BB15" s="188"/>
      <c r="BC15" s="189"/>
      <c r="BD15" s="190"/>
      <c r="BE15" s="191"/>
      <c r="BF15" s="192"/>
      <c r="BG15" s="188"/>
      <c r="BH15" s="189"/>
      <c r="BI15" s="188"/>
      <c r="BJ15" s="189"/>
      <c r="BK15" s="188"/>
      <c r="BL15" s="189"/>
      <c r="BM15" s="190"/>
      <c r="BN15" s="191"/>
      <c r="BO15" s="192"/>
      <c r="BP15" s="188"/>
      <c r="BQ15" s="189"/>
      <c r="BR15" s="188"/>
      <c r="BS15" s="189"/>
      <c r="BT15" s="188"/>
      <c r="BU15" s="189"/>
      <c r="BV15" s="190"/>
      <c r="BW15" s="191"/>
      <c r="BX15" s="192"/>
      <c r="BY15" s="188"/>
      <c r="BZ15" s="189"/>
      <c r="CA15" s="188"/>
      <c r="CB15" s="189"/>
      <c r="CC15" s="188"/>
      <c r="CD15" s="189"/>
      <c r="CE15" s="190"/>
      <c r="CF15" s="191"/>
      <c r="CG15" s="192"/>
      <c r="CH15" s="188"/>
      <c r="CI15" s="189"/>
      <c r="CJ15" s="188"/>
      <c r="CK15" s="189"/>
      <c r="CL15" s="188"/>
      <c r="CM15" s="189"/>
      <c r="CN15" s="190"/>
      <c r="CO15" s="191"/>
      <c r="CP15" s="192"/>
      <c r="CQ15" s="188"/>
      <c r="CR15" s="189"/>
      <c r="CS15" s="188"/>
      <c r="CT15" s="189"/>
      <c r="CU15" s="188"/>
      <c r="CV15" s="189"/>
      <c r="CW15" s="190"/>
      <c r="CX15" s="191"/>
      <c r="CY15" s="192"/>
      <c r="CZ15" s="188"/>
      <c r="DA15" s="189"/>
      <c r="DB15" s="188"/>
      <c r="DC15" s="189"/>
      <c r="DD15" s="188"/>
      <c r="DE15" s="189"/>
      <c r="DF15" s="190"/>
      <c r="DG15" s="191"/>
      <c r="DH15" s="192"/>
      <c r="DI15" s="188"/>
      <c r="DJ15" s="189"/>
      <c r="DK15" s="189"/>
      <c r="DL15" s="189"/>
    </row>
    <row r="16">
      <c r="A16" s="72"/>
      <c r="B16" s="178"/>
      <c r="C16" s="179"/>
      <c r="D16" s="180" t="str">
        <f>PLGK!D18</f>
        <v>-</v>
      </c>
      <c r="E16" s="180" t="str">
        <f>PLGK!E18</f>
        <v>Alat Tulis Kantor
Spesifikasi : Stof Map Folio</v>
      </c>
      <c r="F16" s="181"/>
      <c r="G16" s="193">
        <f>PLGK!G18</f>
        <v>100</v>
      </c>
      <c r="H16" s="182" t="str">
        <f>PLGK!H18</f>
        <v>Buah</v>
      </c>
      <c r="I16" s="183">
        <f>PLGK!I18</f>
        <v>3300</v>
      </c>
      <c r="J16" s="183">
        <f>PLGK!J18</f>
        <v>330000</v>
      </c>
      <c r="K16" s="188"/>
      <c r="L16" s="189"/>
      <c r="M16" s="190"/>
      <c r="N16" s="189"/>
      <c r="O16" s="189"/>
      <c r="P16" s="188"/>
      <c r="Q16" s="189"/>
      <c r="R16" s="188"/>
      <c r="S16" s="189"/>
      <c r="T16" s="190"/>
      <c r="U16" s="189"/>
      <c r="V16" s="189"/>
      <c r="W16" s="188"/>
      <c r="X16" s="189"/>
      <c r="Y16" s="188"/>
      <c r="Z16" s="189"/>
      <c r="AA16" s="188"/>
      <c r="AB16" s="189"/>
      <c r="AC16" s="190"/>
      <c r="AD16" s="191"/>
      <c r="AE16" s="192"/>
      <c r="AF16" s="188"/>
      <c r="AG16" s="189"/>
      <c r="AH16" s="188"/>
      <c r="AI16" s="189"/>
      <c r="AJ16" s="188"/>
      <c r="AK16" s="189"/>
      <c r="AL16" s="190"/>
      <c r="AM16" s="191"/>
      <c r="AN16" s="192"/>
      <c r="AO16" s="188"/>
      <c r="AP16" s="189"/>
      <c r="AQ16" s="188"/>
      <c r="AR16" s="189"/>
      <c r="AS16" s="188"/>
      <c r="AT16" s="189"/>
      <c r="AU16" s="190"/>
      <c r="AV16" s="191"/>
      <c r="AW16" s="192"/>
      <c r="AX16" s="188"/>
      <c r="AY16" s="189"/>
      <c r="AZ16" s="188"/>
      <c r="BA16" s="189"/>
      <c r="BB16" s="188"/>
      <c r="BC16" s="189"/>
      <c r="BD16" s="190"/>
      <c r="BE16" s="191"/>
      <c r="BF16" s="192"/>
      <c r="BG16" s="188"/>
      <c r="BH16" s="189"/>
      <c r="BI16" s="188"/>
      <c r="BJ16" s="189"/>
      <c r="BK16" s="188"/>
      <c r="BL16" s="189"/>
      <c r="BM16" s="190"/>
      <c r="BN16" s="191"/>
      <c r="BO16" s="192"/>
      <c r="BP16" s="188"/>
      <c r="BQ16" s="189"/>
      <c r="BR16" s="188"/>
      <c r="BS16" s="189"/>
      <c r="BT16" s="188"/>
      <c r="BU16" s="189"/>
      <c r="BV16" s="190"/>
      <c r="BW16" s="191"/>
      <c r="BX16" s="192"/>
      <c r="BY16" s="188"/>
      <c r="BZ16" s="189"/>
      <c r="CA16" s="188"/>
      <c r="CB16" s="189"/>
      <c r="CC16" s="188"/>
      <c r="CD16" s="189"/>
      <c r="CE16" s="190"/>
      <c r="CF16" s="191"/>
      <c r="CG16" s="192"/>
      <c r="CH16" s="188"/>
      <c r="CI16" s="189"/>
      <c r="CJ16" s="188"/>
      <c r="CK16" s="189"/>
      <c r="CL16" s="188"/>
      <c r="CM16" s="189"/>
      <c r="CN16" s="190"/>
      <c r="CO16" s="191"/>
      <c r="CP16" s="192"/>
      <c r="CQ16" s="188"/>
      <c r="CR16" s="189"/>
      <c r="CS16" s="188"/>
      <c r="CT16" s="189"/>
      <c r="CU16" s="188"/>
      <c r="CV16" s="189"/>
      <c r="CW16" s="190"/>
      <c r="CX16" s="191"/>
      <c r="CY16" s="192"/>
      <c r="CZ16" s="188"/>
      <c r="DA16" s="189"/>
      <c r="DB16" s="188"/>
      <c r="DC16" s="189"/>
      <c r="DD16" s="188"/>
      <c r="DE16" s="189"/>
      <c r="DF16" s="190"/>
      <c r="DG16" s="191"/>
      <c r="DH16" s="192"/>
      <c r="DI16" s="188"/>
      <c r="DJ16" s="189"/>
      <c r="DK16" s="189"/>
      <c r="DL16" s="189"/>
    </row>
    <row r="17">
      <c r="B17" s="178"/>
      <c r="C17" s="179"/>
      <c r="D17" s="180" t="str">
        <f>PLGK!D19</f>
        <v>-</v>
      </c>
      <c r="E17" s="180" t="str">
        <f>PLGK!E19</f>
        <v>Alat Tulis Kantor
Spesifikasi : Trigonal Clip No. 5 Atom</v>
      </c>
      <c r="F17" s="181"/>
      <c r="G17" s="193">
        <f>PLGK!G19</f>
        <v>5</v>
      </c>
      <c r="H17" s="182" t="str">
        <f>PLGK!H19</f>
        <v>Lusin</v>
      </c>
      <c r="I17" s="183">
        <f>PLGK!I19</f>
        <v>13200</v>
      </c>
      <c r="J17" s="183">
        <f>PLGK!J19</f>
        <v>66000</v>
      </c>
      <c r="K17" s="188"/>
      <c r="L17" s="189"/>
      <c r="M17" s="190"/>
      <c r="N17" s="189"/>
      <c r="O17" s="189"/>
      <c r="P17" s="188"/>
      <c r="Q17" s="189"/>
      <c r="R17" s="188"/>
      <c r="S17" s="189"/>
      <c r="T17" s="190"/>
      <c r="U17" s="189"/>
      <c r="V17" s="189"/>
      <c r="W17" s="188"/>
      <c r="X17" s="189"/>
      <c r="Y17" s="188"/>
      <c r="Z17" s="189"/>
      <c r="AA17" s="188"/>
      <c r="AB17" s="189"/>
      <c r="AC17" s="190"/>
      <c r="AD17" s="191"/>
      <c r="AE17" s="192"/>
      <c r="AF17" s="188"/>
      <c r="AG17" s="189"/>
      <c r="AH17" s="188"/>
      <c r="AI17" s="189"/>
      <c r="AJ17" s="188"/>
      <c r="AK17" s="189"/>
      <c r="AL17" s="190"/>
      <c r="AM17" s="191"/>
      <c r="AN17" s="192"/>
      <c r="AO17" s="188"/>
      <c r="AP17" s="189"/>
      <c r="AQ17" s="188"/>
      <c r="AR17" s="189"/>
      <c r="AS17" s="188"/>
      <c r="AT17" s="189"/>
      <c r="AU17" s="190"/>
      <c r="AV17" s="191"/>
      <c r="AW17" s="192"/>
      <c r="AX17" s="188"/>
      <c r="AY17" s="189"/>
      <c r="AZ17" s="188"/>
      <c r="BA17" s="189"/>
      <c r="BB17" s="188"/>
      <c r="BC17" s="189"/>
      <c r="BD17" s="190"/>
      <c r="BE17" s="191"/>
      <c r="BF17" s="192"/>
      <c r="BG17" s="188"/>
      <c r="BH17" s="189"/>
      <c r="BI17" s="188"/>
      <c r="BJ17" s="189"/>
      <c r="BK17" s="188"/>
      <c r="BL17" s="189"/>
      <c r="BM17" s="190"/>
      <c r="BN17" s="191"/>
      <c r="BO17" s="192"/>
      <c r="BP17" s="188"/>
      <c r="BQ17" s="189"/>
      <c r="BR17" s="188"/>
      <c r="BS17" s="189"/>
      <c r="BT17" s="188"/>
      <c r="BU17" s="189"/>
      <c r="BV17" s="190"/>
      <c r="BW17" s="191"/>
      <c r="BX17" s="192"/>
      <c r="BY17" s="188"/>
      <c r="BZ17" s="189"/>
      <c r="CA17" s="188"/>
      <c r="CB17" s="189"/>
      <c r="CC17" s="188"/>
      <c r="CD17" s="189"/>
      <c r="CE17" s="190"/>
      <c r="CF17" s="191"/>
      <c r="CG17" s="192"/>
      <c r="CH17" s="188"/>
      <c r="CI17" s="189"/>
      <c r="CJ17" s="188"/>
      <c r="CK17" s="189"/>
      <c r="CL17" s="188"/>
      <c r="CM17" s="189"/>
      <c r="CN17" s="190"/>
      <c r="CO17" s="191"/>
      <c r="CP17" s="192"/>
      <c r="CQ17" s="188"/>
      <c r="CR17" s="189"/>
      <c r="CS17" s="188"/>
      <c r="CT17" s="189"/>
      <c r="CU17" s="188"/>
      <c r="CV17" s="189"/>
      <c r="CW17" s="190"/>
      <c r="CX17" s="191"/>
      <c r="CY17" s="192"/>
      <c r="CZ17" s="188"/>
      <c r="DA17" s="189"/>
      <c r="DB17" s="188"/>
      <c r="DC17" s="189"/>
      <c r="DD17" s="188"/>
      <c r="DE17" s="189"/>
      <c r="DF17" s="190"/>
      <c r="DG17" s="191"/>
      <c r="DH17" s="192"/>
      <c r="DI17" s="188"/>
      <c r="DJ17" s="189"/>
      <c r="DK17" s="189"/>
      <c r="DL17" s="189"/>
    </row>
    <row r="18">
      <c r="A18" s="187"/>
      <c r="B18" s="178"/>
      <c r="C18" s="179"/>
      <c r="D18" s="180" t="str">
        <f>PLGK!D20</f>
        <v>-</v>
      </c>
      <c r="E18" s="180" t="str">
        <f>PLGK!E20</f>
        <v>Alat Tulis Kantor
Spesifikasi : Box File Jumbo Bantex</v>
      </c>
      <c r="F18" s="181"/>
      <c r="G18" s="193">
        <f>PLGK!G20</f>
        <v>5</v>
      </c>
      <c r="H18" s="182" t="str">
        <f>PLGK!H20</f>
        <v>Buah</v>
      </c>
      <c r="I18" s="183">
        <f>PLGK!I20</f>
        <v>52000</v>
      </c>
      <c r="J18" s="183">
        <f>PLGK!J20</f>
        <v>260000</v>
      </c>
      <c r="K18" s="188"/>
      <c r="L18" s="189"/>
      <c r="M18" s="190"/>
      <c r="N18" s="189"/>
      <c r="O18" s="189"/>
      <c r="P18" s="188"/>
      <c r="Q18" s="189"/>
      <c r="R18" s="188"/>
      <c r="S18" s="189"/>
      <c r="T18" s="190"/>
      <c r="U18" s="189"/>
      <c r="V18" s="189"/>
      <c r="W18" s="188"/>
      <c r="X18" s="189"/>
      <c r="Y18" s="188"/>
      <c r="Z18" s="189"/>
      <c r="AA18" s="188"/>
      <c r="AB18" s="189"/>
      <c r="AC18" s="190"/>
      <c r="AD18" s="191"/>
      <c r="AE18" s="192"/>
      <c r="AF18" s="188"/>
      <c r="AG18" s="189"/>
      <c r="AH18" s="188"/>
      <c r="AI18" s="189"/>
      <c r="AJ18" s="188"/>
      <c r="AK18" s="189"/>
      <c r="AL18" s="190"/>
      <c r="AM18" s="191"/>
      <c r="AN18" s="192"/>
      <c r="AO18" s="188"/>
      <c r="AP18" s="189"/>
      <c r="AQ18" s="188"/>
      <c r="AR18" s="189"/>
      <c r="AS18" s="188"/>
      <c r="AT18" s="189"/>
      <c r="AU18" s="190"/>
      <c r="AV18" s="191"/>
      <c r="AW18" s="192"/>
      <c r="AX18" s="188"/>
      <c r="AY18" s="189"/>
      <c r="AZ18" s="188"/>
      <c r="BA18" s="189"/>
      <c r="BB18" s="188"/>
      <c r="BC18" s="189"/>
      <c r="BD18" s="190"/>
      <c r="BE18" s="191"/>
      <c r="BF18" s="192"/>
      <c r="BG18" s="188"/>
      <c r="BH18" s="189"/>
      <c r="BI18" s="188"/>
      <c r="BJ18" s="189"/>
      <c r="BK18" s="188"/>
      <c r="BL18" s="189"/>
      <c r="BM18" s="190"/>
      <c r="BN18" s="191"/>
      <c r="BO18" s="192"/>
      <c r="BP18" s="188"/>
      <c r="BQ18" s="189"/>
      <c r="BR18" s="188"/>
      <c r="BS18" s="189"/>
      <c r="BT18" s="188"/>
      <c r="BU18" s="189"/>
      <c r="BV18" s="190"/>
      <c r="BW18" s="191"/>
      <c r="BX18" s="192"/>
      <c r="BY18" s="188"/>
      <c r="BZ18" s="189"/>
      <c r="CA18" s="188"/>
      <c r="CB18" s="189"/>
      <c r="CC18" s="188"/>
      <c r="CD18" s="189"/>
      <c r="CE18" s="190"/>
      <c r="CF18" s="191"/>
      <c r="CG18" s="192"/>
      <c r="CH18" s="188"/>
      <c r="CI18" s="189"/>
      <c r="CJ18" s="188"/>
      <c r="CK18" s="189"/>
      <c r="CL18" s="188"/>
      <c r="CM18" s="189"/>
      <c r="CN18" s="190"/>
      <c r="CO18" s="191"/>
      <c r="CP18" s="192"/>
      <c r="CQ18" s="188"/>
      <c r="CR18" s="189"/>
      <c r="CS18" s="188"/>
      <c r="CT18" s="189"/>
      <c r="CU18" s="188"/>
      <c r="CV18" s="189"/>
      <c r="CW18" s="190"/>
      <c r="CX18" s="191"/>
      <c r="CY18" s="192"/>
      <c r="CZ18" s="188"/>
      <c r="DA18" s="189"/>
      <c r="DB18" s="188"/>
      <c r="DC18" s="189"/>
      <c r="DD18" s="188"/>
      <c r="DE18" s="189"/>
      <c r="DF18" s="190"/>
      <c r="DG18" s="191"/>
      <c r="DH18" s="192"/>
      <c r="DI18" s="188"/>
      <c r="DJ18" s="189"/>
      <c r="DK18" s="189"/>
      <c r="DL18" s="189"/>
    </row>
    <row r="19">
      <c r="A19" s="187"/>
      <c r="B19" s="178"/>
      <c r="C19" s="179"/>
      <c r="D19" s="180"/>
      <c r="E19" s="180"/>
      <c r="F19" s="181"/>
      <c r="G19" s="182"/>
      <c r="H19" s="182"/>
      <c r="I19" s="183"/>
      <c r="J19" s="183"/>
      <c r="K19" s="188"/>
      <c r="L19" s="189"/>
      <c r="M19" s="190"/>
      <c r="N19" s="189"/>
      <c r="O19" s="189"/>
      <c r="P19" s="188"/>
      <c r="Q19" s="189"/>
      <c r="R19" s="188"/>
      <c r="S19" s="189"/>
      <c r="T19" s="190"/>
      <c r="U19" s="189"/>
      <c r="V19" s="189"/>
      <c r="W19" s="188"/>
      <c r="X19" s="189"/>
      <c r="Y19" s="188"/>
      <c r="Z19" s="189"/>
      <c r="AA19" s="188"/>
      <c r="AB19" s="189"/>
      <c r="AC19" s="190"/>
      <c r="AD19" s="191"/>
      <c r="AE19" s="192"/>
      <c r="AF19" s="188"/>
      <c r="AG19" s="189"/>
      <c r="AH19" s="188"/>
      <c r="AI19" s="189"/>
      <c r="AJ19" s="188"/>
      <c r="AK19" s="189"/>
      <c r="AL19" s="190"/>
      <c r="AM19" s="191"/>
      <c r="AN19" s="192"/>
      <c r="AO19" s="188"/>
      <c r="AP19" s="189"/>
      <c r="AQ19" s="188"/>
      <c r="AR19" s="189"/>
      <c r="AS19" s="188"/>
      <c r="AT19" s="189"/>
      <c r="AU19" s="190"/>
      <c r="AV19" s="191"/>
      <c r="AW19" s="192"/>
      <c r="AX19" s="188"/>
      <c r="AY19" s="189"/>
      <c r="AZ19" s="188"/>
      <c r="BA19" s="189"/>
      <c r="BB19" s="188"/>
      <c r="BC19" s="189"/>
      <c r="BD19" s="190"/>
      <c r="BE19" s="191"/>
      <c r="BF19" s="192"/>
      <c r="BG19" s="188"/>
      <c r="BH19" s="189"/>
      <c r="BI19" s="188"/>
      <c r="BJ19" s="189"/>
      <c r="BK19" s="188"/>
      <c r="BL19" s="189"/>
      <c r="BM19" s="190"/>
      <c r="BN19" s="191"/>
      <c r="BO19" s="192"/>
      <c r="BP19" s="188"/>
      <c r="BQ19" s="189"/>
      <c r="BR19" s="188"/>
      <c r="BS19" s="189"/>
      <c r="BT19" s="188"/>
      <c r="BU19" s="189"/>
      <c r="BV19" s="190"/>
      <c r="BW19" s="191"/>
      <c r="BX19" s="192"/>
      <c r="BY19" s="188"/>
      <c r="BZ19" s="189"/>
      <c r="CA19" s="188"/>
      <c r="CB19" s="189"/>
      <c r="CC19" s="188"/>
      <c r="CD19" s="189"/>
      <c r="CE19" s="190"/>
      <c r="CF19" s="191"/>
      <c r="CG19" s="192"/>
      <c r="CH19" s="188"/>
      <c r="CI19" s="189"/>
      <c r="CJ19" s="188"/>
      <c r="CK19" s="189"/>
      <c r="CL19" s="188"/>
      <c r="CM19" s="189"/>
      <c r="CN19" s="190"/>
      <c r="CO19" s="191"/>
      <c r="CP19" s="192"/>
      <c r="CQ19" s="188"/>
      <c r="CR19" s="189"/>
      <c r="CS19" s="188"/>
      <c r="CT19" s="189"/>
      <c r="CU19" s="188"/>
      <c r="CV19" s="189"/>
      <c r="CW19" s="190"/>
      <c r="CX19" s="191"/>
      <c r="CY19" s="192"/>
      <c r="CZ19" s="188"/>
      <c r="DA19" s="189"/>
      <c r="DB19" s="188"/>
      <c r="DC19" s="189"/>
      <c r="DD19" s="188"/>
      <c r="DE19" s="189"/>
      <c r="DF19" s="190"/>
      <c r="DG19" s="191"/>
      <c r="DH19" s="192"/>
      <c r="DI19" s="188"/>
      <c r="DJ19" s="189"/>
      <c r="DK19" s="189"/>
      <c r="DL19" s="189"/>
    </row>
    <row r="20" ht="15.0" customHeight="1">
      <c r="A20" s="72"/>
      <c r="B20" s="178" t="str">
        <f>PLGK!B22</f>
        <v>5.1.02.01.01.0025</v>
      </c>
      <c r="C20" s="179" t="str">
        <f>PLGK!C22</f>
        <v>Belanja Alat/Bahan untuk Kegiatan Kantor- Kertas dan Cover</v>
      </c>
      <c r="D20" s="180"/>
      <c r="E20" s="180"/>
      <c r="F20" s="181"/>
      <c r="G20" s="182"/>
      <c r="H20" s="182"/>
      <c r="I20" s="183"/>
      <c r="J20" s="184">
        <f>PLGK!J22</f>
        <v>441400</v>
      </c>
      <c r="K20" s="188"/>
      <c r="L20" s="189"/>
      <c r="M20" s="190"/>
      <c r="N20" s="189"/>
      <c r="O20" s="189"/>
      <c r="P20" s="188"/>
      <c r="Q20" s="189"/>
      <c r="R20" s="188"/>
      <c r="S20" s="189"/>
      <c r="T20" s="190"/>
      <c r="U20" s="189"/>
      <c r="V20" s="189"/>
      <c r="W20" s="188"/>
      <c r="X20" s="189"/>
      <c r="Y20" s="188"/>
      <c r="Z20" s="189"/>
      <c r="AA20" s="188"/>
      <c r="AB20" s="189"/>
      <c r="AC20" s="190"/>
      <c r="AD20" s="191"/>
      <c r="AE20" s="192"/>
      <c r="AF20" s="188"/>
      <c r="AG20" s="189"/>
      <c r="AH20" s="188"/>
      <c r="AI20" s="189"/>
      <c r="AJ20" s="188"/>
      <c r="AK20" s="189"/>
      <c r="AL20" s="190"/>
      <c r="AM20" s="191"/>
      <c r="AN20" s="192"/>
      <c r="AO20" s="188"/>
      <c r="AP20" s="189"/>
      <c r="AQ20" s="188"/>
      <c r="AR20" s="189"/>
      <c r="AS20" s="188"/>
      <c r="AT20" s="189"/>
      <c r="AU20" s="190"/>
      <c r="AV20" s="191"/>
      <c r="AW20" s="192"/>
      <c r="AX20" s="188"/>
      <c r="AY20" s="189"/>
      <c r="AZ20" s="188"/>
      <c r="BA20" s="189"/>
      <c r="BB20" s="188"/>
      <c r="BC20" s="189"/>
      <c r="BD20" s="190"/>
      <c r="BE20" s="191"/>
      <c r="BF20" s="192"/>
      <c r="BG20" s="188"/>
      <c r="BH20" s="189"/>
      <c r="BI20" s="188"/>
      <c r="BJ20" s="189"/>
      <c r="BK20" s="188"/>
      <c r="BL20" s="189"/>
      <c r="BM20" s="190"/>
      <c r="BN20" s="191"/>
      <c r="BO20" s="192"/>
      <c r="BP20" s="188"/>
      <c r="BQ20" s="189"/>
      <c r="BR20" s="188"/>
      <c r="BS20" s="189"/>
      <c r="BT20" s="188"/>
      <c r="BU20" s="189"/>
      <c r="BV20" s="190"/>
      <c r="BW20" s="191"/>
      <c r="BX20" s="192"/>
      <c r="BY20" s="188"/>
      <c r="BZ20" s="189"/>
      <c r="CA20" s="188"/>
      <c r="CB20" s="189"/>
      <c r="CC20" s="188"/>
      <c r="CD20" s="189"/>
      <c r="CE20" s="190"/>
      <c r="CF20" s="191"/>
      <c r="CG20" s="192"/>
      <c r="CH20" s="188"/>
      <c r="CI20" s="189"/>
      <c r="CJ20" s="188"/>
      <c r="CK20" s="189"/>
      <c r="CL20" s="188"/>
      <c r="CM20" s="189"/>
      <c r="CN20" s="190"/>
      <c r="CO20" s="191"/>
      <c r="CP20" s="192"/>
      <c r="CQ20" s="188"/>
      <c r="CR20" s="189"/>
      <c r="CS20" s="188"/>
      <c r="CT20" s="189"/>
      <c r="CU20" s="188"/>
      <c r="CV20" s="189"/>
      <c r="CW20" s="190"/>
      <c r="CX20" s="191"/>
      <c r="CY20" s="192"/>
      <c r="CZ20" s="188"/>
      <c r="DA20" s="189"/>
      <c r="DB20" s="188"/>
      <c r="DC20" s="189"/>
      <c r="DD20" s="188"/>
      <c r="DE20" s="189"/>
      <c r="DF20" s="190"/>
      <c r="DG20" s="191"/>
      <c r="DH20" s="192"/>
      <c r="DI20" s="188"/>
      <c r="DJ20" s="189"/>
      <c r="DK20" s="189"/>
      <c r="DL20" s="189"/>
    </row>
    <row r="21" ht="15.75" customHeight="1">
      <c r="A21" s="72"/>
      <c r="B21" s="178"/>
      <c r="C21" s="179"/>
      <c r="D21" s="180" t="str">
        <f>PLGK!D23</f>
        <v>-</v>
      </c>
      <c r="E21" s="180" t="str">
        <f>PLGK!E23</f>
        <v>Kertas dan Cover
Spesifikasi : Kertas HVS A4 70 gr</v>
      </c>
      <c r="F21" s="181"/>
      <c r="G21" s="193">
        <f>PLGK!G23</f>
        <v>2</v>
      </c>
      <c r="H21" s="182" t="str">
        <f>PLGK!H23</f>
        <v>Rim</v>
      </c>
      <c r="I21" s="183">
        <f>PLGK!I23</f>
        <v>82400</v>
      </c>
      <c r="J21" s="183">
        <f>PLGK!J23</f>
        <v>164800</v>
      </c>
      <c r="K21" s="188"/>
      <c r="L21" s="189"/>
      <c r="M21" s="190"/>
      <c r="N21" s="189"/>
      <c r="O21" s="189"/>
      <c r="P21" s="188"/>
      <c r="Q21" s="189"/>
      <c r="R21" s="188"/>
      <c r="S21" s="189"/>
      <c r="T21" s="190"/>
      <c r="U21" s="189"/>
      <c r="V21" s="189"/>
      <c r="W21" s="188"/>
      <c r="X21" s="189"/>
      <c r="Y21" s="188"/>
      <c r="Z21" s="189"/>
      <c r="AA21" s="188"/>
      <c r="AB21" s="189"/>
      <c r="AC21" s="190"/>
      <c r="AD21" s="191"/>
      <c r="AE21" s="192"/>
      <c r="AF21" s="188"/>
      <c r="AG21" s="189"/>
      <c r="AH21" s="188"/>
      <c r="AI21" s="189"/>
      <c r="AJ21" s="188"/>
      <c r="AK21" s="189"/>
      <c r="AL21" s="190"/>
      <c r="AM21" s="191"/>
      <c r="AN21" s="192"/>
      <c r="AO21" s="188"/>
      <c r="AP21" s="189"/>
      <c r="AQ21" s="188"/>
      <c r="AR21" s="189"/>
      <c r="AS21" s="188"/>
      <c r="AT21" s="189"/>
      <c r="AU21" s="190"/>
      <c r="AV21" s="191"/>
      <c r="AW21" s="192"/>
      <c r="AX21" s="188"/>
      <c r="AY21" s="189"/>
      <c r="AZ21" s="188"/>
      <c r="BA21" s="189"/>
      <c r="BB21" s="188"/>
      <c r="BC21" s="189"/>
      <c r="BD21" s="190"/>
      <c r="BE21" s="191"/>
      <c r="BF21" s="192"/>
      <c r="BG21" s="188"/>
      <c r="BH21" s="189"/>
      <c r="BI21" s="188"/>
      <c r="BJ21" s="189"/>
      <c r="BK21" s="188"/>
      <c r="BL21" s="189"/>
      <c r="BM21" s="190"/>
      <c r="BN21" s="191"/>
      <c r="BO21" s="192"/>
      <c r="BP21" s="188"/>
      <c r="BQ21" s="189"/>
      <c r="BR21" s="188"/>
      <c r="BS21" s="189"/>
      <c r="BT21" s="188"/>
      <c r="BU21" s="189"/>
      <c r="BV21" s="190"/>
      <c r="BW21" s="191"/>
      <c r="BX21" s="192"/>
      <c r="BY21" s="188"/>
      <c r="BZ21" s="189"/>
      <c r="CA21" s="188"/>
      <c r="CB21" s="189"/>
      <c r="CC21" s="188"/>
      <c r="CD21" s="189"/>
      <c r="CE21" s="190"/>
      <c r="CF21" s="191"/>
      <c r="CG21" s="192"/>
      <c r="CH21" s="188"/>
      <c r="CI21" s="189"/>
      <c r="CJ21" s="188"/>
      <c r="CK21" s="189"/>
      <c r="CL21" s="188"/>
      <c r="CM21" s="189"/>
      <c r="CN21" s="190"/>
      <c r="CO21" s="191"/>
      <c r="CP21" s="192"/>
      <c r="CQ21" s="188"/>
      <c r="CR21" s="189"/>
      <c r="CS21" s="188"/>
      <c r="CT21" s="189"/>
      <c r="CU21" s="188"/>
      <c r="CV21" s="189"/>
      <c r="CW21" s="190"/>
      <c r="CX21" s="191"/>
      <c r="CY21" s="192"/>
      <c r="CZ21" s="188"/>
      <c r="DA21" s="189"/>
      <c r="DB21" s="188"/>
      <c r="DC21" s="189"/>
      <c r="DD21" s="188"/>
      <c r="DE21" s="189"/>
      <c r="DF21" s="190"/>
      <c r="DG21" s="191"/>
      <c r="DH21" s="192"/>
      <c r="DI21" s="188"/>
      <c r="DJ21" s="189"/>
      <c r="DK21" s="189"/>
      <c r="DL21" s="189"/>
    </row>
    <row r="22" ht="15.75" customHeight="1">
      <c r="A22" s="72"/>
      <c r="B22" s="178"/>
      <c r="C22" s="179"/>
      <c r="D22" s="180" t="str">
        <f>PLGK!D24</f>
        <v>-</v>
      </c>
      <c r="E22" s="180" t="str">
        <f>PLGK!E24</f>
        <v>Kertas dan Cover
Spesifikasi : Kertas HVS F4 70 gr</v>
      </c>
      <c r="F22" s="181"/>
      <c r="G22" s="193">
        <f>PLGK!G24</f>
        <v>3</v>
      </c>
      <c r="H22" s="182" t="str">
        <f>PLGK!H24</f>
        <v>Rim</v>
      </c>
      <c r="I22" s="183">
        <f>PLGK!I24</f>
        <v>92200</v>
      </c>
      <c r="J22" s="183">
        <f>PLGK!J24</f>
        <v>276600</v>
      </c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91"/>
      <c r="AE22" s="185"/>
      <c r="AF22" s="185"/>
      <c r="AG22" s="185"/>
      <c r="AH22" s="185"/>
      <c r="AI22" s="185"/>
      <c r="AJ22" s="185"/>
      <c r="AK22" s="185"/>
      <c r="AL22" s="185"/>
      <c r="AM22" s="191"/>
      <c r="AN22" s="185"/>
      <c r="AO22" s="185"/>
      <c r="AP22" s="185"/>
      <c r="AQ22" s="185"/>
      <c r="AR22" s="185"/>
      <c r="AS22" s="185"/>
      <c r="AT22" s="185"/>
      <c r="AU22" s="185"/>
      <c r="AV22" s="191"/>
      <c r="AW22" s="185"/>
      <c r="AX22" s="185"/>
      <c r="AY22" s="185"/>
      <c r="AZ22" s="185"/>
      <c r="BA22" s="185"/>
      <c r="BB22" s="185"/>
      <c r="BC22" s="185"/>
      <c r="BD22" s="185"/>
      <c r="BE22" s="191"/>
      <c r="BF22" s="185"/>
      <c r="BG22" s="185"/>
      <c r="BH22" s="185"/>
      <c r="BI22" s="185"/>
      <c r="BJ22" s="185"/>
      <c r="BK22" s="185"/>
      <c r="BL22" s="185"/>
      <c r="BM22" s="185"/>
      <c r="BN22" s="191"/>
      <c r="BO22" s="185"/>
      <c r="BP22" s="185"/>
      <c r="BQ22" s="185"/>
      <c r="BR22" s="185"/>
      <c r="BS22" s="185"/>
      <c r="BT22" s="185"/>
      <c r="BU22" s="185"/>
      <c r="BV22" s="185"/>
      <c r="BW22" s="191"/>
      <c r="BX22" s="185"/>
      <c r="BY22" s="185"/>
      <c r="BZ22" s="185"/>
      <c r="CA22" s="185"/>
      <c r="CB22" s="185"/>
      <c r="CC22" s="185"/>
      <c r="CD22" s="185"/>
      <c r="CE22" s="185"/>
      <c r="CF22" s="191"/>
      <c r="CG22" s="185"/>
      <c r="CH22" s="185"/>
      <c r="CI22" s="185"/>
      <c r="CJ22" s="185"/>
      <c r="CK22" s="185"/>
      <c r="CL22" s="185"/>
      <c r="CM22" s="185"/>
      <c r="CN22" s="185"/>
      <c r="CO22" s="191"/>
      <c r="CP22" s="185"/>
      <c r="CQ22" s="185"/>
      <c r="CR22" s="185"/>
      <c r="CS22" s="185"/>
      <c r="CT22" s="185"/>
      <c r="CU22" s="185"/>
      <c r="CV22" s="185"/>
      <c r="CW22" s="185"/>
      <c r="CX22" s="191"/>
      <c r="CY22" s="185"/>
      <c r="CZ22" s="185"/>
      <c r="DA22" s="185"/>
      <c r="DB22" s="185"/>
      <c r="DC22" s="185"/>
      <c r="DD22" s="185"/>
      <c r="DE22" s="185"/>
      <c r="DF22" s="185"/>
      <c r="DG22" s="191"/>
      <c r="DH22" s="185"/>
      <c r="DI22" s="185"/>
      <c r="DJ22" s="185"/>
      <c r="DK22" s="186"/>
      <c r="DL22" s="185"/>
    </row>
    <row r="23" ht="15.75" customHeight="1">
      <c r="B23" s="178"/>
      <c r="C23" s="179"/>
      <c r="D23" s="180"/>
      <c r="E23" s="180"/>
      <c r="F23" s="181"/>
      <c r="G23" s="182"/>
      <c r="H23" s="182"/>
      <c r="I23" s="183"/>
      <c r="J23" s="183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8"/>
      <c r="AB23" s="189"/>
      <c r="AC23" s="189"/>
      <c r="AD23" s="191"/>
      <c r="AE23" s="189"/>
      <c r="AF23" s="188"/>
      <c r="AG23" s="189"/>
      <c r="AH23" s="189"/>
      <c r="AI23" s="189"/>
      <c r="AJ23" s="188"/>
      <c r="AK23" s="189"/>
      <c r="AL23" s="189"/>
      <c r="AM23" s="191"/>
      <c r="AN23" s="189"/>
      <c r="AO23" s="188"/>
      <c r="AP23" s="189"/>
      <c r="AQ23" s="189"/>
      <c r="AR23" s="189"/>
      <c r="AS23" s="188"/>
      <c r="AT23" s="189"/>
      <c r="AU23" s="189"/>
      <c r="AV23" s="191"/>
      <c r="AW23" s="189"/>
      <c r="AX23" s="188"/>
      <c r="AY23" s="189"/>
      <c r="AZ23" s="189"/>
      <c r="BA23" s="189"/>
      <c r="BB23" s="188"/>
      <c r="BC23" s="189"/>
      <c r="BD23" s="189"/>
      <c r="BE23" s="191"/>
      <c r="BF23" s="189"/>
      <c r="BG23" s="188"/>
      <c r="BH23" s="189"/>
      <c r="BI23" s="189"/>
      <c r="BJ23" s="189"/>
      <c r="BK23" s="188"/>
      <c r="BL23" s="189"/>
      <c r="BM23" s="189"/>
      <c r="BN23" s="191"/>
      <c r="BO23" s="189"/>
      <c r="BP23" s="188"/>
      <c r="BQ23" s="189"/>
      <c r="BR23" s="189"/>
      <c r="BS23" s="189"/>
      <c r="BT23" s="188"/>
      <c r="BU23" s="189"/>
      <c r="BV23" s="189"/>
      <c r="BW23" s="191"/>
      <c r="BX23" s="189"/>
      <c r="BY23" s="188"/>
      <c r="BZ23" s="189"/>
      <c r="CA23" s="189"/>
      <c r="CB23" s="189"/>
      <c r="CC23" s="188"/>
      <c r="CD23" s="189"/>
      <c r="CE23" s="189"/>
      <c r="CF23" s="191"/>
      <c r="CG23" s="189"/>
      <c r="CH23" s="188"/>
      <c r="CI23" s="189"/>
      <c r="CJ23" s="189"/>
      <c r="CK23" s="189"/>
      <c r="CL23" s="188"/>
      <c r="CM23" s="189"/>
      <c r="CN23" s="189"/>
      <c r="CO23" s="191"/>
      <c r="CP23" s="189"/>
      <c r="CQ23" s="188"/>
      <c r="CR23" s="189"/>
      <c r="CS23" s="189"/>
      <c r="CT23" s="189"/>
      <c r="CU23" s="188"/>
      <c r="CV23" s="189"/>
      <c r="CW23" s="189"/>
      <c r="CX23" s="191"/>
      <c r="CY23" s="189"/>
      <c r="CZ23" s="188"/>
      <c r="DA23" s="189"/>
      <c r="DB23" s="189"/>
      <c r="DC23" s="189"/>
      <c r="DD23" s="188"/>
      <c r="DE23" s="189"/>
      <c r="DF23" s="189"/>
      <c r="DG23" s="191"/>
      <c r="DH23" s="189"/>
      <c r="DI23" s="188"/>
      <c r="DJ23" s="189"/>
      <c r="DK23" s="194"/>
      <c r="DL23" s="189"/>
    </row>
    <row r="24" ht="15.75" customHeight="1">
      <c r="A24" s="195"/>
      <c r="B24" s="178" t="str">
        <f>PLGK!B26</f>
        <v>5.1.02.01.01.0026</v>
      </c>
      <c r="C24" s="179" t="str">
        <f>PLGK!C26</f>
        <v>Belanja Alat/Bahan untuk Kegiatan Kantor- Bahan Cetak</v>
      </c>
      <c r="D24" s="180"/>
      <c r="E24" s="180"/>
      <c r="F24" s="181"/>
      <c r="G24" s="182"/>
      <c r="H24" s="182"/>
      <c r="I24" s="183"/>
      <c r="J24" s="184">
        <f>PLGK!J26</f>
        <v>544000</v>
      </c>
      <c r="K24" s="101"/>
      <c r="L24" s="185"/>
      <c r="M24" s="190"/>
      <c r="N24" s="185"/>
      <c r="O24" s="185"/>
      <c r="P24" s="101"/>
      <c r="Q24" s="185"/>
      <c r="R24" s="101"/>
      <c r="S24" s="185"/>
      <c r="T24" s="190"/>
      <c r="U24" s="185"/>
      <c r="V24" s="185"/>
      <c r="W24" s="101"/>
      <c r="X24" s="185"/>
      <c r="Y24" s="101"/>
      <c r="Z24" s="185"/>
      <c r="AA24" s="101"/>
      <c r="AB24" s="185"/>
      <c r="AC24" s="190"/>
      <c r="AD24" s="191"/>
      <c r="AE24" s="185"/>
      <c r="AF24" s="101"/>
      <c r="AG24" s="185"/>
      <c r="AH24" s="101"/>
      <c r="AI24" s="185"/>
      <c r="AJ24" s="101"/>
      <c r="AK24" s="185"/>
      <c r="AL24" s="190"/>
      <c r="AM24" s="191"/>
      <c r="AN24" s="185"/>
      <c r="AO24" s="101"/>
      <c r="AP24" s="185"/>
      <c r="AQ24" s="101"/>
      <c r="AR24" s="185"/>
      <c r="AS24" s="101"/>
      <c r="AT24" s="185"/>
      <c r="AU24" s="190"/>
      <c r="AV24" s="191"/>
      <c r="AW24" s="185"/>
      <c r="AX24" s="101"/>
      <c r="AY24" s="185"/>
      <c r="AZ24" s="101"/>
      <c r="BA24" s="185"/>
      <c r="BB24" s="101"/>
      <c r="BC24" s="185"/>
      <c r="BD24" s="190"/>
      <c r="BE24" s="191"/>
      <c r="BF24" s="185"/>
      <c r="BG24" s="101"/>
      <c r="BH24" s="185"/>
      <c r="BI24" s="101"/>
      <c r="BJ24" s="185"/>
      <c r="BK24" s="101"/>
      <c r="BL24" s="185"/>
      <c r="BM24" s="190"/>
      <c r="BN24" s="191"/>
      <c r="BO24" s="185"/>
      <c r="BP24" s="101"/>
      <c r="BQ24" s="185"/>
      <c r="BR24" s="101"/>
      <c r="BS24" s="185"/>
      <c r="BT24" s="101"/>
      <c r="BU24" s="185"/>
      <c r="BV24" s="190"/>
      <c r="BW24" s="191"/>
      <c r="BX24" s="185"/>
      <c r="BY24" s="101"/>
      <c r="BZ24" s="185"/>
      <c r="CA24" s="101"/>
      <c r="CB24" s="185"/>
      <c r="CC24" s="101"/>
      <c r="CD24" s="185"/>
      <c r="CE24" s="190"/>
      <c r="CF24" s="191"/>
      <c r="CG24" s="185"/>
      <c r="CH24" s="101"/>
      <c r="CI24" s="185"/>
      <c r="CJ24" s="101"/>
      <c r="CK24" s="185"/>
      <c r="CL24" s="101"/>
      <c r="CM24" s="185"/>
      <c r="CN24" s="190"/>
      <c r="CO24" s="191"/>
      <c r="CP24" s="185"/>
      <c r="CQ24" s="101"/>
      <c r="CR24" s="185"/>
      <c r="CS24" s="101"/>
      <c r="CT24" s="185"/>
      <c r="CU24" s="101"/>
      <c r="CV24" s="185"/>
      <c r="CW24" s="190"/>
      <c r="CX24" s="191"/>
      <c r="CY24" s="185"/>
      <c r="CZ24" s="101"/>
      <c r="DA24" s="185"/>
      <c r="DB24" s="101"/>
      <c r="DC24" s="185"/>
      <c r="DD24" s="101"/>
      <c r="DE24" s="185"/>
      <c r="DF24" s="190"/>
      <c r="DG24" s="191"/>
      <c r="DH24" s="185"/>
      <c r="DI24" s="101"/>
      <c r="DJ24" s="185"/>
      <c r="DK24" s="185"/>
      <c r="DL24" s="185"/>
    </row>
    <row r="25" ht="15.75" customHeight="1">
      <c r="A25" s="187"/>
      <c r="B25" s="182"/>
      <c r="C25" s="196"/>
      <c r="D25" s="197" t="str">
        <f>PLGK!D27</f>
        <v>-</v>
      </c>
      <c r="E25" s="197" t="str">
        <f>PLGK!E27</f>
        <v>Foto Copy
Spesifikasi : Foto copy Hitam Putih-HVS
A4/F4</v>
      </c>
      <c r="F25" s="198"/>
      <c r="G25" s="193">
        <f>PLGK!G27</f>
        <v>1360</v>
      </c>
      <c r="H25" s="182" t="str">
        <f>PLGK!H27</f>
        <v>Lembar</v>
      </c>
      <c r="I25" s="183">
        <f>PLGK!I27</f>
        <v>400</v>
      </c>
      <c r="J25" s="183">
        <f>PLGK!J27</f>
        <v>544000</v>
      </c>
      <c r="K25" s="188"/>
      <c r="L25" s="189"/>
      <c r="M25" s="199"/>
      <c r="N25" s="189"/>
      <c r="O25" s="189"/>
      <c r="P25" s="188"/>
      <c r="Q25" s="189"/>
      <c r="R25" s="188"/>
      <c r="S25" s="189"/>
      <c r="T25" s="199"/>
      <c r="U25" s="189"/>
      <c r="V25" s="189"/>
      <c r="W25" s="188"/>
      <c r="X25" s="189"/>
      <c r="Y25" s="188"/>
      <c r="Z25" s="189"/>
      <c r="AA25" s="188"/>
      <c r="AB25" s="189"/>
      <c r="AC25" s="199"/>
      <c r="AD25" s="200"/>
      <c r="AE25" s="201"/>
      <c r="AF25" s="188"/>
      <c r="AG25" s="189"/>
      <c r="AH25" s="188"/>
      <c r="AI25" s="189"/>
      <c r="AJ25" s="188"/>
      <c r="AK25" s="189"/>
      <c r="AL25" s="199"/>
      <c r="AM25" s="200"/>
      <c r="AN25" s="201"/>
      <c r="AO25" s="188"/>
      <c r="AP25" s="189"/>
      <c r="AQ25" s="188"/>
      <c r="AR25" s="189"/>
      <c r="AS25" s="188"/>
      <c r="AT25" s="189"/>
      <c r="AU25" s="199"/>
      <c r="AV25" s="200"/>
      <c r="AW25" s="201"/>
      <c r="AX25" s="188"/>
      <c r="AY25" s="189"/>
      <c r="AZ25" s="188"/>
      <c r="BA25" s="189"/>
      <c r="BB25" s="188"/>
      <c r="BC25" s="189"/>
      <c r="BD25" s="199"/>
      <c r="BE25" s="200"/>
      <c r="BF25" s="201"/>
      <c r="BG25" s="188"/>
      <c r="BH25" s="189"/>
      <c r="BI25" s="188"/>
      <c r="BJ25" s="189"/>
      <c r="BK25" s="188"/>
      <c r="BL25" s="189"/>
      <c r="BM25" s="199"/>
      <c r="BN25" s="200"/>
      <c r="BO25" s="201"/>
      <c r="BP25" s="188"/>
      <c r="BQ25" s="189"/>
      <c r="BR25" s="188"/>
      <c r="BS25" s="189"/>
      <c r="BT25" s="188"/>
      <c r="BU25" s="189"/>
      <c r="BV25" s="199"/>
      <c r="BW25" s="200"/>
      <c r="BX25" s="201"/>
      <c r="BY25" s="188"/>
      <c r="BZ25" s="189"/>
      <c r="CA25" s="188"/>
      <c r="CB25" s="189"/>
      <c r="CC25" s="188"/>
      <c r="CD25" s="189"/>
      <c r="CE25" s="199"/>
      <c r="CF25" s="200"/>
      <c r="CG25" s="201"/>
      <c r="CH25" s="188"/>
      <c r="CI25" s="189"/>
      <c r="CJ25" s="188"/>
      <c r="CK25" s="189"/>
      <c r="CL25" s="188"/>
      <c r="CM25" s="189"/>
      <c r="CN25" s="199"/>
      <c r="CO25" s="200"/>
      <c r="CP25" s="201"/>
      <c r="CQ25" s="188"/>
      <c r="CR25" s="189"/>
      <c r="CS25" s="188"/>
      <c r="CT25" s="189"/>
      <c r="CU25" s="188"/>
      <c r="CV25" s="189"/>
      <c r="CW25" s="199"/>
      <c r="CX25" s="200"/>
      <c r="CY25" s="201"/>
      <c r="CZ25" s="188"/>
      <c r="DA25" s="189"/>
      <c r="DB25" s="188"/>
      <c r="DC25" s="189"/>
      <c r="DD25" s="188"/>
      <c r="DE25" s="189"/>
      <c r="DF25" s="199"/>
      <c r="DG25" s="200"/>
      <c r="DH25" s="201"/>
      <c r="DI25" s="188"/>
      <c r="DJ25" s="189"/>
      <c r="DK25" s="189"/>
      <c r="DL25" s="189"/>
    </row>
    <row r="26" ht="11.25" customHeight="1">
      <c r="A26" s="72"/>
      <c r="B26" s="178"/>
      <c r="C26" s="179"/>
      <c r="D26" s="180"/>
      <c r="E26" s="180"/>
      <c r="F26" s="181"/>
      <c r="G26" s="182"/>
      <c r="H26" s="182"/>
      <c r="I26" s="183"/>
      <c r="J26" s="183"/>
      <c r="K26" s="188"/>
      <c r="L26" s="189"/>
      <c r="M26" s="190"/>
      <c r="N26" s="189"/>
      <c r="O26" s="189"/>
      <c r="P26" s="188"/>
      <c r="Q26" s="189"/>
      <c r="R26" s="188"/>
      <c r="S26" s="189"/>
      <c r="T26" s="190"/>
      <c r="U26" s="189"/>
      <c r="V26" s="189"/>
      <c r="W26" s="188"/>
      <c r="X26" s="189"/>
      <c r="Y26" s="188"/>
      <c r="Z26" s="189"/>
      <c r="AA26" s="188"/>
      <c r="AB26" s="189"/>
      <c r="AC26" s="190"/>
      <c r="AD26" s="191"/>
      <c r="AE26" s="192"/>
      <c r="AF26" s="188"/>
      <c r="AG26" s="189"/>
      <c r="AH26" s="188"/>
      <c r="AI26" s="189"/>
      <c r="AJ26" s="188"/>
      <c r="AK26" s="189"/>
      <c r="AL26" s="190"/>
      <c r="AM26" s="191"/>
      <c r="AN26" s="192"/>
      <c r="AO26" s="188"/>
      <c r="AP26" s="189"/>
      <c r="AQ26" s="188"/>
      <c r="AR26" s="189"/>
      <c r="AS26" s="188"/>
      <c r="AT26" s="189"/>
      <c r="AU26" s="190"/>
      <c r="AV26" s="191"/>
      <c r="AW26" s="192"/>
      <c r="AX26" s="188"/>
      <c r="AY26" s="189"/>
      <c r="AZ26" s="188"/>
      <c r="BA26" s="189"/>
      <c r="BB26" s="188"/>
      <c r="BC26" s="189"/>
      <c r="BD26" s="190"/>
      <c r="BE26" s="191"/>
      <c r="BF26" s="192"/>
      <c r="BG26" s="188"/>
      <c r="BH26" s="189"/>
      <c r="BI26" s="188"/>
      <c r="BJ26" s="189"/>
      <c r="BK26" s="188"/>
      <c r="BL26" s="189"/>
      <c r="BM26" s="190"/>
      <c r="BN26" s="191"/>
      <c r="BO26" s="192"/>
      <c r="BP26" s="188"/>
      <c r="BQ26" s="189"/>
      <c r="BR26" s="188"/>
      <c r="BS26" s="189"/>
      <c r="BT26" s="188"/>
      <c r="BU26" s="189"/>
      <c r="BV26" s="190"/>
      <c r="BW26" s="191"/>
      <c r="BX26" s="192"/>
      <c r="BY26" s="188"/>
      <c r="BZ26" s="189"/>
      <c r="CA26" s="188"/>
      <c r="CB26" s="189"/>
      <c r="CC26" s="188"/>
      <c r="CD26" s="189"/>
      <c r="CE26" s="190"/>
      <c r="CF26" s="191"/>
      <c r="CG26" s="192"/>
      <c r="CH26" s="188"/>
      <c r="CI26" s="189"/>
      <c r="CJ26" s="188"/>
      <c r="CK26" s="189"/>
      <c r="CL26" s="188"/>
      <c r="CM26" s="189"/>
      <c r="CN26" s="190"/>
      <c r="CO26" s="191"/>
      <c r="CP26" s="192"/>
      <c r="CQ26" s="188"/>
      <c r="CR26" s="189"/>
      <c r="CS26" s="188"/>
      <c r="CT26" s="189"/>
      <c r="CU26" s="188"/>
      <c r="CV26" s="189"/>
      <c r="CW26" s="190"/>
      <c r="CX26" s="191"/>
      <c r="CY26" s="192"/>
      <c r="CZ26" s="188"/>
      <c r="DA26" s="189"/>
      <c r="DB26" s="188"/>
      <c r="DC26" s="189"/>
      <c r="DD26" s="188"/>
      <c r="DE26" s="189"/>
      <c r="DF26" s="190"/>
      <c r="DG26" s="191"/>
      <c r="DH26" s="192"/>
      <c r="DI26" s="188"/>
      <c r="DJ26" s="189"/>
      <c r="DK26" s="189"/>
      <c r="DL26" s="189"/>
    </row>
    <row r="27" ht="15.75" customHeight="1">
      <c r="B27" s="178" t="str">
        <f>PLGK!B29</f>
        <v>5.1.02.01.01.0027</v>
      </c>
      <c r="C27" s="179" t="str">
        <f>PLGK!C29</f>
        <v>Belanja Alat/Bahan untuk Kegiatan Kantor-Benda Pos</v>
      </c>
      <c r="D27" s="180"/>
      <c r="E27" s="180"/>
      <c r="F27" s="181"/>
      <c r="G27" s="182"/>
      <c r="H27" s="182"/>
      <c r="I27" s="183"/>
      <c r="J27" s="184">
        <f>PLGK!J29</f>
        <v>150000</v>
      </c>
      <c r="K27" s="188"/>
      <c r="L27" s="189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8"/>
      <c r="Z27" s="189"/>
      <c r="AA27" s="188"/>
      <c r="AB27" s="189"/>
      <c r="AC27" s="188"/>
      <c r="AD27" s="191"/>
      <c r="AE27" s="189"/>
      <c r="AF27" s="188"/>
      <c r="AG27" s="189"/>
      <c r="AH27" s="188"/>
      <c r="AI27" s="189"/>
      <c r="AJ27" s="188"/>
      <c r="AK27" s="189"/>
      <c r="AL27" s="188"/>
      <c r="AM27" s="191"/>
      <c r="AN27" s="189"/>
      <c r="AO27" s="188"/>
      <c r="AP27" s="189"/>
      <c r="AQ27" s="188"/>
      <c r="AR27" s="189"/>
      <c r="AS27" s="188"/>
      <c r="AT27" s="189"/>
      <c r="AU27" s="188"/>
      <c r="AV27" s="191"/>
      <c r="AW27" s="189"/>
      <c r="AX27" s="188"/>
      <c r="AY27" s="189"/>
      <c r="AZ27" s="188"/>
      <c r="BA27" s="189"/>
      <c r="BB27" s="188"/>
      <c r="BC27" s="189"/>
      <c r="BD27" s="188"/>
      <c r="BE27" s="191"/>
      <c r="BF27" s="189"/>
      <c r="BG27" s="188"/>
      <c r="BH27" s="189"/>
      <c r="BI27" s="188"/>
      <c r="BJ27" s="189"/>
      <c r="BK27" s="188"/>
      <c r="BL27" s="189"/>
      <c r="BM27" s="188"/>
      <c r="BN27" s="191"/>
      <c r="BO27" s="189"/>
      <c r="BP27" s="188"/>
      <c r="BQ27" s="189"/>
      <c r="BR27" s="188"/>
      <c r="BS27" s="189"/>
      <c r="BT27" s="188"/>
      <c r="BU27" s="189"/>
      <c r="BV27" s="188"/>
      <c r="BW27" s="191"/>
      <c r="BX27" s="189"/>
      <c r="BY27" s="188"/>
      <c r="BZ27" s="189"/>
      <c r="CA27" s="188"/>
      <c r="CB27" s="189"/>
      <c r="CC27" s="188"/>
      <c r="CD27" s="189"/>
      <c r="CE27" s="188"/>
      <c r="CF27" s="191"/>
      <c r="CG27" s="189"/>
      <c r="CH27" s="188"/>
      <c r="CI27" s="189"/>
      <c r="CJ27" s="188"/>
      <c r="CK27" s="189"/>
      <c r="CL27" s="188"/>
      <c r="CM27" s="189"/>
      <c r="CN27" s="188"/>
      <c r="CO27" s="191"/>
      <c r="CP27" s="189"/>
      <c r="CQ27" s="188"/>
      <c r="CR27" s="189"/>
      <c r="CS27" s="188"/>
      <c r="CT27" s="189"/>
      <c r="CU27" s="188"/>
      <c r="CV27" s="189"/>
      <c r="CW27" s="188"/>
      <c r="CX27" s="191"/>
      <c r="CY27" s="189"/>
      <c r="CZ27" s="188"/>
      <c r="DA27" s="189"/>
      <c r="DB27" s="188"/>
      <c r="DC27" s="189"/>
      <c r="DD27" s="188"/>
      <c r="DE27" s="189"/>
      <c r="DF27" s="188"/>
      <c r="DG27" s="191"/>
      <c r="DH27" s="189"/>
      <c r="DI27" s="188"/>
      <c r="DJ27" s="189"/>
      <c r="DK27" s="194"/>
      <c r="DL27" s="189"/>
    </row>
    <row r="28" ht="15.75" customHeight="1">
      <c r="A28" s="8"/>
      <c r="B28" s="182"/>
      <c r="C28" s="196"/>
      <c r="D28" s="197" t="str">
        <f>PLGK!D30</f>
        <v>-</v>
      </c>
      <c r="E28" s="197" t="str">
        <f>PLGK!E30</f>
        <v>Materai
Spesifikasi: Materai 10.000</v>
      </c>
      <c r="F28" s="198"/>
      <c r="G28" s="193">
        <f>PLGK!G30</f>
        <v>15</v>
      </c>
      <c r="H28" s="182" t="str">
        <f>PLGK!H30</f>
        <v>Lembar</v>
      </c>
      <c r="I28" s="183">
        <f>PLGK!I30</f>
        <v>10000</v>
      </c>
      <c r="J28" s="183">
        <f>PLGK!J30</f>
        <v>150000</v>
      </c>
      <c r="K28" s="188"/>
      <c r="L28" s="189"/>
      <c r="M28" s="188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200"/>
      <c r="AE28" s="189"/>
      <c r="AF28" s="189"/>
      <c r="AG28" s="189"/>
      <c r="AH28" s="189"/>
      <c r="AI28" s="189"/>
      <c r="AJ28" s="189"/>
      <c r="AK28" s="189"/>
      <c r="AL28" s="189"/>
      <c r="AM28" s="200"/>
      <c r="AN28" s="189"/>
      <c r="AO28" s="189"/>
      <c r="AP28" s="189"/>
      <c r="AQ28" s="189"/>
      <c r="AR28" s="189"/>
      <c r="AS28" s="189"/>
      <c r="AT28" s="189"/>
      <c r="AU28" s="189"/>
      <c r="AV28" s="200"/>
      <c r="AW28" s="189"/>
      <c r="AX28" s="189"/>
      <c r="AY28" s="189"/>
      <c r="AZ28" s="189"/>
      <c r="BA28" s="189"/>
      <c r="BB28" s="189"/>
      <c r="BC28" s="189"/>
      <c r="BD28" s="189"/>
      <c r="BE28" s="200"/>
      <c r="BF28" s="189"/>
      <c r="BG28" s="189"/>
      <c r="BH28" s="189"/>
      <c r="BI28" s="189"/>
      <c r="BJ28" s="189"/>
      <c r="BK28" s="189"/>
      <c r="BL28" s="189"/>
      <c r="BM28" s="189"/>
      <c r="BN28" s="200"/>
      <c r="BO28" s="189"/>
      <c r="BP28" s="189"/>
      <c r="BQ28" s="189"/>
      <c r="BR28" s="189"/>
      <c r="BS28" s="189"/>
      <c r="BT28" s="189"/>
      <c r="BU28" s="189"/>
      <c r="BV28" s="189"/>
      <c r="BW28" s="200"/>
      <c r="BX28" s="189"/>
      <c r="BY28" s="189"/>
      <c r="BZ28" s="189"/>
      <c r="CA28" s="189"/>
      <c r="CB28" s="189"/>
      <c r="CC28" s="189"/>
      <c r="CD28" s="189"/>
      <c r="CE28" s="189"/>
      <c r="CF28" s="200"/>
      <c r="CG28" s="189"/>
      <c r="CH28" s="189"/>
      <c r="CI28" s="189"/>
      <c r="CJ28" s="189"/>
      <c r="CK28" s="189"/>
      <c r="CL28" s="189"/>
      <c r="CM28" s="189"/>
      <c r="CN28" s="189"/>
      <c r="CO28" s="200"/>
      <c r="CP28" s="189"/>
      <c r="CQ28" s="189"/>
      <c r="CR28" s="189"/>
      <c r="CS28" s="189"/>
      <c r="CT28" s="189"/>
      <c r="CU28" s="189"/>
      <c r="CV28" s="189"/>
      <c r="CW28" s="189"/>
      <c r="CX28" s="200"/>
      <c r="CY28" s="189"/>
      <c r="CZ28" s="189"/>
      <c r="DA28" s="189"/>
      <c r="DB28" s="189"/>
      <c r="DC28" s="189"/>
      <c r="DD28" s="189"/>
      <c r="DE28" s="189"/>
      <c r="DF28" s="189"/>
      <c r="DG28" s="200"/>
      <c r="DH28" s="189"/>
      <c r="DI28" s="189"/>
      <c r="DJ28" s="189"/>
      <c r="DK28" s="194"/>
      <c r="DL28" s="189"/>
    </row>
    <row r="29" ht="15.75" customHeight="1">
      <c r="A29" s="72"/>
      <c r="B29" s="178"/>
      <c r="C29" s="179"/>
      <c r="D29" s="180"/>
      <c r="E29" s="180"/>
      <c r="F29" s="181"/>
      <c r="G29" s="182"/>
      <c r="H29" s="182"/>
      <c r="I29" s="183"/>
      <c r="J29" s="183"/>
      <c r="K29" s="101"/>
      <c r="L29" s="185"/>
      <c r="M29" s="101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91"/>
      <c r="AE29" s="185"/>
      <c r="AF29" s="185"/>
      <c r="AG29" s="185"/>
      <c r="AH29" s="185"/>
      <c r="AI29" s="185"/>
      <c r="AJ29" s="185"/>
      <c r="AK29" s="185"/>
      <c r="AL29" s="185"/>
      <c r="AM29" s="191"/>
      <c r="AN29" s="185"/>
      <c r="AO29" s="185"/>
      <c r="AP29" s="185"/>
      <c r="AQ29" s="185"/>
      <c r="AR29" s="185"/>
      <c r="AS29" s="185"/>
      <c r="AT29" s="185"/>
      <c r="AU29" s="185"/>
      <c r="AV29" s="191"/>
      <c r="AW29" s="185"/>
      <c r="AX29" s="185"/>
      <c r="AY29" s="185"/>
      <c r="AZ29" s="185"/>
      <c r="BA29" s="185"/>
      <c r="BB29" s="185"/>
      <c r="BC29" s="185"/>
      <c r="BD29" s="185"/>
      <c r="BE29" s="191"/>
      <c r="BF29" s="185"/>
      <c r="BG29" s="185"/>
      <c r="BH29" s="185"/>
      <c r="BI29" s="185"/>
      <c r="BJ29" s="185"/>
      <c r="BK29" s="185"/>
      <c r="BL29" s="185"/>
      <c r="BM29" s="185"/>
      <c r="BN29" s="191"/>
      <c r="BO29" s="185"/>
      <c r="BP29" s="185"/>
      <c r="BQ29" s="185"/>
      <c r="BR29" s="185"/>
      <c r="BS29" s="185"/>
      <c r="BT29" s="185"/>
      <c r="BU29" s="185"/>
      <c r="BV29" s="185"/>
      <c r="BW29" s="191"/>
      <c r="BX29" s="185"/>
      <c r="BY29" s="185"/>
      <c r="BZ29" s="185"/>
      <c r="CA29" s="185"/>
      <c r="CB29" s="185"/>
      <c r="CC29" s="185"/>
      <c r="CD29" s="185"/>
      <c r="CE29" s="185"/>
      <c r="CF29" s="191"/>
      <c r="CG29" s="185"/>
      <c r="CH29" s="185"/>
      <c r="CI29" s="185"/>
      <c r="CJ29" s="185"/>
      <c r="CK29" s="185"/>
      <c r="CL29" s="185"/>
      <c r="CM29" s="185"/>
      <c r="CN29" s="185"/>
      <c r="CO29" s="191"/>
      <c r="CP29" s="185"/>
      <c r="CQ29" s="185"/>
      <c r="CR29" s="185"/>
      <c r="CS29" s="185"/>
      <c r="CT29" s="185"/>
      <c r="CU29" s="185"/>
      <c r="CV29" s="185"/>
      <c r="CW29" s="185"/>
      <c r="CX29" s="191"/>
      <c r="CY29" s="185"/>
      <c r="CZ29" s="185"/>
      <c r="DA29" s="185"/>
      <c r="DB29" s="185"/>
      <c r="DC29" s="185"/>
      <c r="DD29" s="185"/>
      <c r="DE29" s="185"/>
      <c r="DF29" s="185"/>
      <c r="DG29" s="191"/>
      <c r="DH29" s="185"/>
      <c r="DI29" s="185"/>
      <c r="DJ29" s="185"/>
      <c r="DK29" s="186"/>
      <c r="DL29" s="185"/>
    </row>
    <row r="30" ht="15.75" customHeight="1">
      <c r="B30" s="178" t="str">
        <f>PLGK!B32</f>
        <v>5.1.02.04</v>
      </c>
      <c r="C30" s="179" t="str">
        <f>PLGK!C32</f>
        <v>Belanja Perjalanan Dinas</v>
      </c>
      <c r="D30" s="180"/>
      <c r="E30" s="180"/>
      <c r="F30" s="181"/>
      <c r="G30" s="182"/>
      <c r="H30" s="182"/>
      <c r="I30" s="183"/>
      <c r="J30" s="184">
        <f>PLGK!J32</f>
        <v>31208000</v>
      </c>
      <c r="K30" s="188"/>
      <c r="L30" s="189"/>
      <c r="M30" s="190"/>
      <c r="N30" s="189"/>
      <c r="O30" s="189"/>
      <c r="P30" s="188"/>
      <c r="Q30" s="189"/>
      <c r="R30" s="188"/>
      <c r="S30" s="189"/>
      <c r="T30" s="190"/>
      <c r="U30" s="189"/>
      <c r="V30" s="189"/>
      <c r="W30" s="188"/>
      <c r="X30" s="189"/>
      <c r="Y30" s="188"/>
      <c r="Z30" s="189"/>
      <c r="AA30" s="188"/>
      <c r="AB30" s="189"/>
      <c r="AC30" s="190"/>
      <c r="AD30" s="191"/>
      <c r="AE30" s="192"/>
      <c r="AF30" s="188"/>
      <c r="AG30" s="189"/>
      <c r="AH30" s="188"/>
      <c r="AI30" s="189"/>
      <c r="AJ30" s="188"/>
      <c r="AK30" s="189"/>
      <c r="AL30" s="190"/>
      <c r="AM30" s="191"/>
      <c r="AN30" s="192"/>
      <c r="AO30" s="188"/>
      <c r="AP30" s="189"/>
      <c r="AQ30" s="188"/>
      <c r="AR30" s="189"/>
      <c r="AS30" s="188"/>
      <c r="AT30" s="189"/>
      <c r="AU30" s="190"/>
      <c r="AV30" s="191"/>
      <c r="AW30" s="192"/>
      <c r="AX30" s="188"/>
      <c r="AY30" s="189"/>
      <c r="AZ30" s="188"/>
      <c r="BA30" s="189"/>
      <c r="BB30" s="188"/>
      <c r="BC30" s="189"/>
      <c r="BD30" s="190"/>
      <c r="BE30" s="191"/>
      <c r="BF30" s="192"/>
      <c r="BG30" s="188"/>
      <c r="BH30" s="189"/>
      <c r="BI30" s="188"/>
      <c r="BJ30" s="189"/>
      <c r="BK30" s="188"/>
      <c r="BL30" s="189"/>
      <c r="BM30" s="190"/>
      <c r="BN30" s="191"/>
      <c r="BO30" s="192"/>
      <c r="BP30" s="188"/>
      <c r="BQ30" s="189"/>
      <c r="BR30" s="188"/>
      <c r="BS30" s="189"/>
      <c r="BT30" s="188"/>
      <c r="BU30" s="189"/>
      <c r="BV30" s="190"/>
      <c r="BW30" s="191"/>
      <c r="BX30" s="192"/>
      <c r="BY30" s="188"/>
      <c r="BZ30" s="189"/>
      <c r="CA30" s="188"/>
      <c r="CB30" s="189"/>
      <c r="CC30" s="188"/>
      <c r="CD30" s="189"/>
      <c r="CE30" s="190"/>
      <c r="CF30" s="191"/>
      <c r="CG30" s="192"/>
      <c r="CH30" s="188"/>
      <c r="CI30" s="189"/>
      <c r="CJ30" s="188"/>
      <c r="CK30" s="189"/>
      <c r="CL30" s="188"/>
      <c r="CM30" s="189"/>
      <c r="CN30" s="190"/>
      <c r="CO30" s="191"/>
      <c r="CP30" s="192"/>
      <c r="CQ30" s="188"/>
      <c r="CR30" s="189"/>
      <c r="CS30" s="188"/>
      <c r="CT30" s="189"/>
      <c r="CU30" s="188"/>
      <c r="CV30" s="189"/>
      <c r="CW30" s="190"/>
      <c r="CX30" s="191"/>
      <c r="CY30" s="192"/>
      <c r="CZ30" s="188"/>
      <c r="DA30" s="189"/>
      <c r="DB30" s="188"/>
      <c r="DC30" s="189"/>
      <c r="DD30" s="188"/>
      <c r="DE30" s="189"/>
      <c r="DF30" s="190"/>
      <c r="DG30" s="191"/>
      <c r="DH30" s="192"/>
      <c r="DI30" s="188"/>
      <c r="DJ30" s="189"/>
      <c r="DK30" s="189"/>
      <c r="DL30" s="189"/>
    </row>
    <row r="31" ht="15.75" customHeight="1">
      <c r="B31" s="178" t="str">
        <f>PLGK!B33</f>
        <v>5.1.02.04.01</v>
      </c>
      <c r="C31" s="179" t="str">
        <f>PLGK!C33</f>
        <v>Belanja Perjalanan Dinas Dalam Negeri</v>
      </c>
      <c r="D31" s="180"/>
      <c r="E31" s="180"/>
      <c r="F31" s="181"/>
      <c r="G31" s="182"/>
      <c r="H31" s="182"/>
      <c r="I31" s="183"/>
      <c r="J31" s="184">
        <f>PLGK!J33</f>
        <v>31208000</v>
      </c>
      <c r="K31" s="188"/>
      <c r="L31" s="189"/>
      <c r="M31" s="190"/>
      <c r="N31" s="189"/>
      <c r="O31" s="189"/>
      <c r="P31" s="188"/>
      <c r="Q31" s="189"/>
      <c r="R31" s="188"/>
      <c r="S31" s="189"/>
      <c r="T31" s="190"/>
      <c r="U31" s="189"/>
      <c r="V31" s="189"/>
      <c r="W31" s="188"/>
      <c r="X31" s="189"/>
      <c r="Y31" s="188"/>
      <c r="Z31" s="189"/>
      <c r="AA31" s="188"/>
      <c r="AB31" s="189"/>
      <c r="AC31" s="190"/>
      <c r="AD31" s="191"/>
      <c r="AE31" s="192"/>
      <c r="AF31" s="188"/>
      <c r="AG31" s="189"/>
      <c r="AH31" s="188"/>
      <c r="AI31" s="189"/>
      <c r="AJ31" s="188"/>
      <c r="AK31" s="189"/>
      <c r="AL31" s="190"/>
      <c r="AM31" s="191"/>
      <c r="AN31" s="192"/>
      <c r="AO31" s="188"/>
      <c r="AP31" s="189"/>
      <c r="AQ31" s="188"/>
      <c r="AR31" s="189"/>
      <c r="AS31" s="188"/>
      <c r="AT31" s="189"/>
      <c r="AU31" s="190"/>
      <c r="AV31" s="191"/>
      <c r="AW31" s="192"/>
      <c r="AX31" s="188"/>
      <c r="AY31" s="189"/>
      <c r="AZ31" s="188"/>
      <c r="BA31" s="189"/>
      <c r="BB31" s="188"/>
      <c r="BC31" s="189"/>
      <c r="BD31" s="190"/>
      <c r="BE31" s="191"/>
      <c r="BF31" s="192"/>
      <c r="BG31" s="188"/>
      <c r="BH31" s="189"/>
      <c r="BI31" s="188"/>
      <c r="BJ31" s="189"/>
      <c r="BK31" s="188"/>
      <c r="BL31" s="189"/>
      <c r="BM31" s="190"/>
      <c r="BN31" s="191"/>
      <c r="BO31" s="192"/>
      <c r="BP31" s="188"/>
      <c r="BQ31" s="189"/>
      <c r="BR31" s="188"/>
      <c r="BS31" s="189"/>
      <c r="BT31" s="188"/>
      <c r="BU31" s="189"/>
      <c r="BV31" s="190"/>
      <c r="BW31" s="191"/>
      <c r="BX31" s="192"/>
      <c r="BY31" s="188"/>
      <c r="BZ31" s="189"/>
      <c r="CA31" s="188"/>
      <c r="CB31" s="189"/>
      <c r="CC31" s="188"/>
      <c r="CD31" s="189"/>
      <c r="CE31" s="190"/>
      <c r="CF31" s="191"/>
      <c r="CG31" s="192"/>
      <c r="CH31" s="188"/>
      <c r="CI31" s="189"/>
      <c r="CJ31" s="188"/>
      <c r="CK31" s="189"/>
      <c r="CL31" s="188"/>
      <c r="CM31" s="189"/>
      <c r="CN31" s="190"/>
      <c r="CO31" s="191"/>
      <c r="CP31" s="192"/>
      <c r="CQ31" s="188"/>
      <c r="CR31" s="189"/>
      <c r="CS31" s="188"/>
      <c r="CT31" s="189"/>
      <c r="CU31" s="188"/>
      <c r="CV31" s="189"/>
      <c r="CW31" s="190"/>
      <c r="CX31" s="191"/>
      <c r="CY31" s="192"/>
      <c r="CZ31" s="188"/>
      <c r="DA31" s="189"/>
      <c r="DB31" s="188"/>
      <c r="DC31" s="189"/>
      <c r="DD31" s="188"/>
      <c r="DE31" s="189"/>
      <c r="DF31" s="190"/>
      <c r="DG31" s="191"/>
      <c r="DH31" s="192"/>
      <c r="DI31" s="188"/>
      <c r="DJ31" s="189"/>
      <c r="DK31" s="189"/>
      <c r="DL31" s="189"/>
    </row>
    <row r="32" ht="15.75" customHeight="1">
      <c r="A32" s="8"/>
      <c r="B32" s="178" t="str">
        <f>PLGK!B34</f>
        <v>5.1.02.04.01.0001</v>
      </c>
      <c r="C32" s="179" t="str">
        <f>PLGK!C34</f>
        <v>Belanja Perjalanan Dinas Biasa</v>
      </c>
      <c r="D32" s="180"/>
      <c r="E32" s="180"/>
      <c r="F32" s="181"/>
      <c r="G32" s="182"/>
      <c r="H32" s="182"/>
      <c r="I32" s="183"/>
      <c r="J32" s="184">
        <f>PLGK!J34</f>
        <v>31208000</v>
      </c>
      <c r="K32" s="188"/>
      <c r="L32" s="189"/>
      <c r="M32" s="188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8"/>
      <c r="Z32" s="189"/>
      <c r="AA32" s="188"/>
      <c r="AB32" s="189"/>
      <c r="AC32" s="188"/>
      <c r="AD32" s="191"/>
      <c r="AE32" s="189"/>
      <c r="AF32" s="188"/>
      <c r="AG32" s="189"/>
      <c r="AH32" s="188"/>
      <c r="AI32" s="189"/>
      <c r="AJ32" s="188"/>
      <c r="AK32" s="189"/>
      <c r="AL32" s="188"/>
      <c r="AM32" s="191"/>
      <c r="AN32" s="189"/>
      <c r="AO32" s="188"/>
      <c r="AP32" s="189"/>
      <c r="AQ32" s="188"/>
      <c r="AR32" s="189"/>
      <c r="AS32" s="188"/>
      <c r="AT32" s="189"/>
      <c r="AU32" s="188"/>
      <c r="AV32" s="191"/>
      <c r="AW32" s="189"/>
      <c r="AX32" s="188"/>
      <c r="AY32" s="189"/>
      <c r="AZ32" s="188"/>
      <c r="BA32" s="189"/>
      <c r="BB32" s="188"/>
      <c r="BC32" s="189"/>
      <c r="BD32" s="188"/>
      <c r="BE32" s="191"/>
      <c r="BF32" s="189"/>
      <c r="BG32" s="188"/>
      <c r="BH32" s="189"/>
      <c r="BI32" s="188"/>
      <c r="BJ32" s="189"/>
      <c r="BK32" s="188"/>
      <c r="BL32" s="189"/>
      <c r="BM32" s="188"/>
      <c r="BN32" s="191"/>
      <c r="BO32" s="189"/>
      <c r="BP32" s="188"/>
      <c r="BQ32" s="189"/>
      <c r="BR32" s="188"/>
      <c r="BS32" s="189"/>
      <c r="BT32" s="188"/>
      <c r="BU32" s="189"/>
      <c r="BV32" s="188"/>
      <c r="BW32" s="191"/>
      <c r="BX32" s="189"/>
      <c r="BY32" s="188"/>
      <c r="BZ32" s="189"/>
      <c r="CA32" s="188"/>
      <c r="CB32" s="189"/>
      <c r="CC32" s="188"/>
      <c r="CD32" s="189"/>
      <c r="CE32" s="188"/>
      <c r="CF32" s="191"/>
      <c r="CG32" s="189"/>
      <c r="CH32" s="188"/>
      <c r="CI32" s="189"/>
      <c r="CJ32" s="188"/>
      <c r="CK32" s="189"/>
      <c r="CL32" s="188"/>
      <c r="CM32" s="189"/>
      <c r="CN32" s="188"/>
      <c r="CO32" s="191"/>
      <c r="CP32" s="189"/>
      <c r="CQ32" s="188"/>
      <c r="CR32" s="189"/>
      <c r="CS32" s="188"/>
      <c r="CT32" s="189"/>
      <c r="CU32" s="188"/>
      <c r="CV32" s="189"/>
      <c r="CW32" s="188"/>
      <c r="CX32" s="191"/>
      <c r="CY32" s="189"/>
      <c r="CZ32" s="188"/>
      <c r="DA32" s="189"/>
      <c r="DB32" s="188"/>
      <c r="DC32" s="189"/>
      <c r="DD32" s="188"/>
      <c r="DE32" s="189"/>
      <c r="DF32" s="188"/>
      <c r="DG32" s="191"/>
      <c r="DH32" s="189"/>
      <c r="DI32" s="188"/>
      <c r="DJ32" s="189"/>
      <c r="DK32" s="194"/>
      <c r="DL32" s="189"/>
    </row>
    <row r="33" ht="15.75" customHeight="1">
      <c r="A33" s="8"/>
      <c r="B33" s="182"/>
      <c r="C33" s="196"/>
      <c r="D33" s="197" t="str">
        <f>PLGK!D35</f>
        <v>-</v>
      </c>
      <c r="E33" s="197" t="str">
        <f>PLGK!E35</f>
        <v>Penginapan Dalam Negeri di- D.K.I. JAKARTA
Spesifikasi: PEJABAT ESELON III / GOLONGAN IV</v>
      </c>
      <c r="F33" s="198"/>
      <c r="G33" s="193">
        <f>PLGK!G35</f>
        <v>8</v>
      </c>
      <c r="H33" s="182" t="str">
        <f>PLGK!H35</f>
        <v>Orang / Hari</v>
      </c>
      <c r="I33" s="183">
        <f>PLGK!I35</f>
        <v>992000</v>
      </c>
      <c r="J33" s="183">
        <f>PLGK!J35</f>
        <v>7936000</v>
      </c>
      <c r="K33" s="188"/>
      <c r="L33" s="189"/>
      <c r="M33" s="188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200"/>
      <c r="AE33" s="189"/>
      <c r="AF33" s="189"/>
      <c r="AG33" s="189"/>
      <c r="AH33" s="189"/>
      <c r="AI33" s="189"/>
      <c r="AJ33" s="189"/>
      <c r="AK33" s="189"/>
      <c r="AL33" s="189"/>
      <c r="AM33" s="200"/>
      <c r="AN33" s="189"/>
      <c r="AO33" s="189"/>
      <c r="AP33" s="189"/>
      <c r="AQ33" s="189"/>
      <c r="AR33" s="189"/>
      <c r="AS33" s="189"/>
      <c r="AT33" s="189"/>
      <c r="AU33" s="189"/>
      <c r="AV33" s="200"/>
      <c r="AW33" s="189"/>
      <c r="AX33" s="189"/>
      <c r="AY33" s="189"/>
      <c r="AZ33" s="189"/>
      <c r="BA33" s="189"/>
      <c r="BB33" s="189"/>
      <c r="BC33" s="189"/>
      <c r="BD33" s="189"/>
      <c r="BE33" s="200"/>
      <c r="BF33" s="189"/>
      <c r="BG33" s="189"/>
      <c r="BH33" s="189"/>
      <c r="BI33" s="189"/>
      <c r="BJ33" s="189"/>
      <c r="BK33" s="189"/>
      <c r="BL33" s="189"/>
      <c r="BM33" s="189"/>
      <c r="BN33" s="200"/>
      <c r="BO33" s="189"/>
      <c r="BP33" s="189"/>
      <c r="BQ33" s="189"/>
      <c r="BR33" s="189"/>
      <c r="BS33" s="189"/>
      <c r="BT33" s="189"/>
      <c r="BU33" s="189"/>
      <c r="BV33" s="189"/>
      <c r="BW33" s="200"/>
      <c r="BX33" s="189"/>
      <c r="BY33" s="189"/>
      <c r="BZ33" s="189"/>
      <c r="CA33" s="189"/>
      <c r="CB33" s="189"/>
      <c r="CC33" s="189"/>
      <c r="CD33" s="189"/>
      <c r="CE33" s="189"/>
      <c r="CF33" s="200"/>
      <c r="CG33" s="189"/>
      <c r="CH33" s="189"/>
      <c r="CI33" s="189"/>
      <c r="CJ33" s="189"/>
      <c r="CK33" s="189"/>
      <c r="CL33" s="189"/>
      <c r="CM33" s="189"/>
      <c r="CN33" s="189"/>
      <c r="CO33" s="200"/>
      <c r="CP33" s="189"/>
      <c r="CQ33" s="189"/>
      <c r="CR33" s="189"/>
      <c r="CS33" s="189"/>
      <c r="CT33" s="189"/>
      <c r="CU33" s="189"/>
      <c r="CV33" s="189"/>
      <c r="CW33" s="189"/>
      <c r="CX33" s="200"/>
      <c r="CY33" s="189"/>
      <c r="CZ33" s="189"/>
      <c r="DA33" s="189"/>
      <c r="DB33" s="189"/>
      <c r="DC33" s="189"/>
      <c r="DD33" s="189"/>
      <c r="DE33" s="189"/>
      <c r="DF33" s="189"/>
      <c r="DG33" s="200"/>
      <c r="DH33" s="189"/>
      <c r="DI33" s="189"/>
      <c r="DJ33" s="189"/>
      <c r="DK33" s="194"/>
      <c r="DL33" s="189"/>
    </row>
    <row r="34" ht="15.75" customHeight="1">
      <c r="A34" s="8"/>
      <c r="B34" s="182"/>
      <c r="C34" s="196"/>
      <c r="D34" s="197" t="str">
        <f>PLGK!D36</f>
        <v>-</v>
      </c>
      <c r="E34" s="197" t="str">
        <f>PLGK!E36</f>
        <v>Taxi dari/ke Bandara - Perjalanan Dinas Dalam Negeri
Spesifikasi: BALI</v>
      </c>
      <c r="F34" s="198"/>
      <c r="G34" s="193">
        <f>PLGK!G36</f>
        <v>8</v>
      </c>
      <c r="H34" s="182" t="str">
        <f>PLGK!H36</f>
        <v>Orang / Kali</v>
      </c>
      <c r="I34" s="183">
        <f>PLGK!I36</f>
        <v>227000</v>
      </c>
      <c r="J34" s="183">
        <f>PLGK!J36</f>
        <v>1816000</v>
      </c>
      <c r="K34" s="188"/>
      <c r="L34" s="189"/>
      <c r="M34" s="188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200"/>
      <c r="AE34" s="189"/>
      <c r="AF34" s="189"/>
      <c r="AG34" s="189"/>
      <c r="AH34" s="189"/>
      <c r="AI34" s="189"/>
      <c r="AJ34" s="189"/>
      <c r="AK34" s="189"/>
      <c r="AL34" s="189"/>
      <c r="AM34" s="200"/>
      <c r="AN34" s="189"/>
      <c r="AO34" s="189"/>
      <c r="AP34" s="189"/>
      <c r="AQ34" s="189"/>
      <c r="AR34" s="189"/>
      <c r="AS34" s="189"/>
      <c r="AT34" s="189"/>
      <c r="AU34" s="189"/>
      <c r="AV34" s="200"/>
      <c r="AW34" s="189"/>
      <c r="AX34" s="189"/>
      <c r="AY34" s="189"/>
      <c r="AZ34" s="189"/>
      <c r="BA34" s="189"/>
      <c r="BB34" s="189"/>
      <c r="BC34" s="189"/>
      <c r="BD34" s="189"/>
      <c r="BE34" s="200"/>
      <c r="BF34" s="189"/>
      <c r="BG34" s="189"/>
      <c r="BH34" s="189"/>
      <c r="BI34" s="189"/>
      <c r="BJ34" s="189"/>
      <c r="BK34" s="189"/>
      <c r="BL34" s="189"/>
      <c r="BM34" s="189"/>
      <c r="BN34" s="200"/>
      <c r="BO34" s="189"/>
      <c r="BP34" s="189"/>
      <c r="BQ34" s="189"/>
      <c r="BR34" s="189"/>
      <c r="BS34" s="189"/>
      <c r="BT34" s="189"/>
      <c r="BU34" s="189"/>
      <c r="BV34" s="189"/>
      <c r="BW34" s="200"/>
      <c r="BX34" s="189"/>
      <c r="BY34" s="189"/>
      <c r="BZ34" s="189"/>
      <c r="CA34" s="189"/>
      <c r="CB34" s="189"/>
      <c r="CC34" s="189"/>
      <c r="CD34" s="189"/>
      <c r="CE34" s="189"/>
      <c r="CF34" s="200"/>
      <c r="CG34" s="189"/>
      <c r="CH34" s="189"/>
      <c r="CI34" s="189"/>
      <c r="CJ34" s="189"/>
      <c r="CK34" s="189"/>
      <c r="CL34" s="189"/>
      <c r="CM34" s="189"/>
      <c r="CN34" s="189"/>
      <c r="CO34" s="200"/>
      <c r="CP34" s="189"/>
      <c r="CQ34" s="189"/>
      <c r="CR34" s="189"/>
      <c r="CS34" s="189"/>
      <c r="CT34" s="189"/>
      <c r="CU34" s="189"/>
      <c r="CV34" s="189"/>
      <c r="CW34" s="189"/>
      <c r="CX34" s="200"/>
      <c r="CY34" s="189"/>
      <c r="CZ34" s="189"/>
      <c r="DA34" s="189"/>
      <c r="DB34" s="189"/>
      <c r="DC34" s="189"/>
      <c r="DD34" s="189"/>
      <c r="DE34" s="189"/>
      <c r="DF34" s="189"/>
      <c r="DG34" s="200"/>
      <c r="DH34" s="189"/>
      <c r="DI34" s="189"/>
      <c r="DJ34" s="189"/>
      <c r="DK34" s="189"/>
      <c r="DL34" s="189"/>
    </row>
    <row r="35" ht="15.75" customHeight="1">
      <c r="A35" s="8"/>
      <c r="B35" s="182"/>
      <c r="C35" s="196"/>
      <c r="D35" s="197" t="str">
        <f>PLGK!D37</f>
        <v>-</v>
      </c>
      <c r="E35" s="197" t="str">
        <f>PLGK!E37</f>
        <v>Taxi dari/ke Bandara - Perjalanan Dinas Dalam Negeri
Spesifikasi: D.K.I. JAKARTA</v>
      </c>
      <c r="F35" s="198"/>
      <c r="G35" s="193">
        <f>PLGK!G37</f>
        <v>8</v>
      </c>
      <c r="H35" s="182" t="str">
        <f>PLGK!H37</f>
        <v>Orang / Kali</v>
      </c>
      <c r="I35" s="183">
        <f>PLGK!I37</f>
        <v>256000</v>
      </c>
      <c r="J35" s="183">
        <f>PLGK!J37</f>
        <v>2048000</v>
      </c>
      <c r="K35" s="188"/>
      <c r="L35" s="189"/>
      <c r="M35" s="199"/>
      <c r="N35" s="189"/>
      <c r="O35" s="189"/>
      <c r="P35" s="188"/>
      <c r="Q35" s="189"/>
      <c r="R35" s="188"/>
      <c r="S35" s="189"/>
      <c r="T35" s="199"/>
      <c r="U35" s="189"/>
      <c r="V35" s="189"/>
      <c r="W35" s="188"/>
      <c r="X35" s="189"/>
      <c r="Y35" s="188"/>
      <c r="Z35" s="189"/>
      <c r="AA35" s="188"/>
      <c r="AB35" s="189"/>
      <c r="AC35" s="199"/>
      <c r="AD35" s="200"/>
      <c r="AE35" s="201"/>
      <c r="AF35" s="188"/>
      <c r="AG35" s="189"/>
      <c r="AH35" s="188"/>
      <c r="AI35" s="189"/>
      <c r="AJ35" s="188"/>
      <c r="AK35" s="189"/>
      <c r="AL35" s="199"/>
      <c r="AM35" s="200"/>
      <c r="AN35" s="201"/>
      <c r="AO35" s="188"/>
      <c r="AP35" s="189"/>
      <c r="AQ35" s="188"/>
      <c r="AR35" s="189"/>
      <c r="AS35" s="188"/>
      <c r="AT35" s="189"/>
      <c r="AU35" s="199"/>
      <c r="AV35" s="200"/>
      <c r="AW35" s="201"/>
      <c r="AX35" s="188"/>
      <c r="AY35" s="189"/>
      <c r="AZ35" s="188"/>
      <c r="BA35" s="189"/>
      <c r="BB35" s="188"/>
      <c r="BC35" s="189"/>
      <c r="BD35" s="199"/>
      <c r="BE35" s="200"/>
      <c r="BF35" s="201"/>
      <c r="BG35" s="188"/>
      <c r="BH35" s="189"/>
      <c r="BI35" s="188"/>
      <c r="BJ35" s="189"/>
      <c r="BK35" s="188"/>
      <c r="BL35" s="189"/>
      <c r="BM35" s="199"/>
      <c r="BN35" s="200"/>
      <c r="BO35" s="201"/>
      <c r="BP35" s="188"/>
      <c r="BQ35" s="189"/>
      <c r="BR35" s="188"/>
      <c r="BS35" s="189"/>
      <c r="BT35" s="188"/>
      <c r="BU35" s="189"/>
      <c r="BV35" s="199"/>
      <c r="BW35" s="200"/>
      <c r="BX35" s="201"/>
      <c r="BY35" s="188"/>
      <c r="BZ35" s="189"/>
      <c r="CA35" s="188"/>
      <c r="CB35" s="189"/>
      <c r="CC35" s="188"/>
      <c r="CD35" s="189"/>
      <c r="CE35" s="199"/>
      <c r="CF35" s="200"/>
      <c r="CG35" s="201"/>
      <c r="CH35" s="188"/>
      <c r="CI35" s="189"/>
      <c r="CJ35" s="188"/>
      <c r="CK35" s="189"/>
      <c r="CL35" s="188"/>
      <c r="CM35" s="189"/>
      <c r="CN35" s="199"/>
      <c r="CO35" s="200"/>
      <c r="CP35" s="201"/>
      <c r="CQ35" s="188"/>
      <c r="CR35" s="189"/>
      <c r="CS35" s="188"/>
      <c r="CT35" s="189"/>
      <c r="CU35" s="188"/>
      <c r="CV35" s="189"/>
      <c r="CW35" s="199"/>
      <c r="CX35" s="200"/>
      <c r="CY35" s="201"/>
      <c r="CZ35" s="188"/>
      <c r="DA35" s="189"/>
      <c r="DB35" s="188"/>
      <c r="DC35" s="189"/>
      <c r="DD35" s="188"/>
      <c r="DE35" s="189"/>
      <c r="DF35" s="199"/>
      <c r="DG35" s="200"/>
      <c r="DH35" s="201"/>
      <c r="DI35" s="188"/>
      <c r="DJ35" s="189"/>
      <c r="DK35" s="189"/>
      <c r="DL35" s="189"/>
    </row>
    <row r="36" ht="15.75" customHeight="1">
      <c r="A36" s="8"/>
      <c r="B36" s="182"/>
      <c r="C36" s="196"/>
      <c r="D36" s="197" t="str">
        <f>PLGK!D38</f>
        <v>-</v>
      </c>
      <c r="E36" s="197" t="str">
        <f>PLGK!E38</f>
        <v>Satuan Biaya Tiket Dalam Negeri
Spesifikasi : Denpasar - Jakarta</v>
      </c>
      <c r="F36" s="198"/>
      <c r="G36" s="193">
        <f>PLGK!G38</f>
        <v>4</v>
      </c>
      <c r="H36" s="182" t="str">
        <f>PLGK!H38</f>
        <v>Orang /PP</v>
      </c>
      <c r="I36" s="183">
        <f>PLGK!I38</f>
        <v>3262000</v>
      </c>
      <c r="J36" s="183">
        <f>PLGK!J38</f>
        <v>13048000</v>
      </c>
      <c r="K36" s="188"/>
      <c r="L36" s="189"/>
      <c r="M36" s="188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8"/>
      <c r="Z36" s="189"/>
      <c r="AA36" s="188"/>
      <c r="AB36" s="189"/>
      <c r="AC36" s="188"/>
      <c r="AD36" s="200"/>
      <c r="AE36" s="189"/>
      <c r="AF36" s="188"/>
      <c r="AG36" s="189"/>
      <c r="AH36" s="188"/>
      <c r="AI36" s="189"/>
      <c r="AJ36" s="188"/>
      <c r="AK36" s="189"/>
      <c r="AL36" s="188"/>
      <c r="AM36" s="200"/>
      <c r="AN36" s="189"/>
      <c r="AO36" s="188"/>
      <c r="AP36" s="189"/>
      <c r="AQ36" s="188"/>
      <c r="AR36" s="189"/>
      <c r="AS36" s="188"/>
      <c r="AT36" s="189"/>
      <c r="AU36" s="188"/>
      <c r="AV36" s="200"/>
      <c r="AW36" s="189"/>
      <c r="AX36" s="188"/>
      <c r="AY36" s="189"/>
      <c r="AZ36" s="188"/>
      <c r="BA36" s="189"/>
      <c r="BB36" s="188"/>
      <c r="BC36" s="189"/>
      <c r="BD36" s="188"/>
      <c r="BE36" s="200"/>
      <c r="BF36" s="189"/>
      <c r="BG36" s="188"/>
      <c r="BH36" s="189"/>
      <c r="BI36" s="188"/>
      <c r="BJ36" s="189"/>
      <c r="BK36" s="188"/>
      <c r="BL36" s="189"/>
      <c r="BM36" s="188"/>
      <c r="BN36" s="200"/>
      <c r="BO36" s="189"/>
      <c r="BP36" s="188"/>
      <c r="BQ36" s="189"/>
      <c r="BR36" s="188"/>
      <c r="BS36" s="189"/>
      <c r="BT36" s="188"/>
      <c r="BU36" s="189"/>
      <c r="BV36" s="188"/>
      <c r="BW36" s="200"/>
      <c r="BX36" s="189"/>
      <c r="BY36" s="188"/>
      <c r="BZ36" s="189"/>
      <c r="CA36" s="188"/>
      <c r="CB36" s="189"/>
      <c r="CC36" s="188"/>
      <c r="CD36" s="189"/>
      <c r="CE36" s="188"/>
      <c r="CF36" s="200"/>
      <c r="CG36" s="189"/>
      <c r="CH36" s="188"/>
      <c r="CI36" s="189"/>
      <c r="CJ36" s="188"/>
      <c r="CK36" s="189"/>
      <c r="CL36" s="188"/>
      <c r="CM36" s="189"/>
      <c r="CN36" s="188"/>
      <c r="CO36" s="200"/>
      <c r="CP36" s="189"/>
      <c r="CQ36" s="188"/>
      <c r="CR36" s="189"/>
      <c r="CS36" s="188"/>
      <c r="CT36" s="189"/>
      <c r="CU36" s="188"/>
      <c r="CV36" s="189"/>
      <c r="CW36" s="188"/>
      <c r="CX36" s="200"/>
      <c r="CY36" s="189"/>
      <c r="CZ36" s="188"/>
      <c r="DA36" s="189"/>
      <c r="DB36" s="188"/>
      <c r="DC36" s="189"/>
      <c r="DD36" s="188"/>
      <c r="DE36" s="189"/>
      <c r="DF36" s="188"/>
      <c r="DG36" s="200"/>
      <c r="DH36" s="189"/>
      <c r="DI36" s="188"/>
      <c r="DJ36" s="189"/>
      <c r="DK36" s="194"/>
      <c r="DL36" s="189"/>
    </row>
    <row r="37" ht="15.75" customHeight="1">
      <c r="A37" s="8"/>
      <c r="B37" s="182"/>
      <c r="C37" s="196"/>
      <c r="D37" s="197" t="str">
        <f>PLGK!D39</f>
        <v>-</v>
      </c>
      <c r="E37" s="197" t="str">
        <f>PLGK!E39</f>
        <v>Uang Harian Perjalanan Dinas Luar Kota/Luar Daerah
Spesifikasi: D.K.I. JAKARTA</v>
      </c>
      <c r="F37" s="198"/>
      <c r="G37" s="193">
        <f>PLGK!G39</f>
        <v>12</v>
      </c>
      <c r="H37" s="182" t="str">
        <f>PLGK!H39</f>
        <v>Orang / Hari</v>
      </c>
      <c r="I37" s="183">
        <f>PLGK!I39</f>
        <v>530000</v>
      </c>
      <c r="J37" s="183">
        <f>PLGK!J39</f>
        <v>6360000</v>
      </c>
      <c r="K37" s="188"/>
      <c r="L37" s="189"/>
      <c r="M37" s="188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200"/>
      <c r="AE37" s="189"/>
      <c r="AF37" s="189"/>
      <c r="AG37" s="189"/>
      <c r="AH37" s="189"/>
      <c r="AI37" s="189"/>
      <c r="AJ37" s="189"/>
      <c r="AK37" s="189"/>
      <c r="AL37" s="189"/>
      <c r="AM37" s="200"/>
      <c r="AN37" s="189"/>
      <c r="AO37" s="189"/>
      <c r="AP37" s="189"/>
      <c r="AQ37" s="189"/>
      <c r="AR37" s="189"/>
      <c r="AS37" s="189"/>
      <c r="AT37" s="189"/>
      <c r="AU37" s="189"/>
      <c r="AV37" s="200"/>
      <c r="AW37" s="189"/>
      <c r="AX37" s="189"/>
      <c r="AY37" s="189"/>
      <c r="AZ37" s="189"/>
      <c r="BA37" s="189"/>
      <c r="BB37" s="189"/>
      <c r="BC37" s="189"/>
      <c r="BD37" s="189"/>
      <c r="BE37" s="200"/>
      <c r="BF37" s="189"/>
      <c r="BG37" s="189"/>
      <c r="BH37" s="189"/>
      <c r="BI37" s="189"/>
      <c r="BJ37" s="189"/>
      <c r="BK37" s="189"/>
      <c r="BL37" s="189"/>
      <c r="BM37" s="189"/>
      <c r="BN37" s="200"/>
      <c r="BO37" s="189"/>
      <c r="BP37" s="189"/>
      <c r="BQ37" s="189"/>
      <c r="BR37" s="189"/>
      <c r="BS37" s="189"/>
      <c r="BT37" s="189"/>
      <c r="BU37" s="189"/>
      <c r="BV37" s="189"/>
      <c r="BW37" s="200"/>
      <c r="BX37" s="189"/>
      <c r="BY37" s="189"/>
      <c r="BZ37" s="189"/>
      <c r="CA37" s="189"/>
      <c r="CB37" s="189"/>
      <c r="CC37" s="189"/>
      <c r="CD37" s="189"/>
      <c r="CE37" s="189"/>
      <c r="CF37" s="200"/>
      <c r="CG37" s="189"/>
      <c r="CH37" s="189"/>
      <c r="CI37" s="189"/>
      <c r="CJ37" s="189"/>
      <c r="CK37" s="189"/>
      <c r="CL37" s="189"/>
      <c r="CM37" s="189"/>
      <c r="CN37" s="189"/>
      <c r="CO37" s="200"/>
      <c r="CP37" s="189"/>
      <c r="CQ37" s="189"/>
      <c r="CR37" s="189"/>
      <c r="CS37" s="189"/>
      <c r="CT37" s="189"/>
      <c r="CU37" s="189"/>
      <c r="CV37" s="189"/>
      <c r="CW37" s="189"/>
      <c r="CX37" s="200"/>
      <c r="CY37" s="189"/>
      <c r="CZ37" s="189"/>
      <c r="DA37" s="189"/>
      <c r="DB37" s="189"/>
      <c r="DC37" s="189"/>
      <c r="DD37" s="189"/>
      <c r="DE37" s="189"/>
      <c r="DF37" s="189"/>
      <c r="DG37" s="200"/>
      <c r="DH37" s="189"/>
      <c r="DI37" s="189"/>
      <c r="DJ37" s="189"/>
      <c r="DK37" s="194"/>
      <c r="DL37" s="189"/>
    </row>
    <row r="38" ht="15.75" customHeight="1">
      <c r="B38" s="178"/>
      <c r="C38" s="179"/>
      <c r="D38" s="180"/>
      <c r="E38" s="180"/>
      <c r="F38" s="181"/>
      <c r="G38" s="182"/>
      <c r="H38" s="182"/>
      <c r="I38" s="183"/>
      <c r="J38" s="183"/>
      <c r="K38" s="188"/>
      <c r="L38" s="189"/>
      <c r="M38" s="190"/>
      <c r="N38" s="189"/>
      <c r="O38" s="189"/>
      <c r="P38" s="188"/>
      <c r="Q38" s="189"/>
      <c r="R38" s="188"/>
      <c r="S38" s="189"/>
      <c r="T38" s="190"/>
      <c r="U38" s="189"/>
      <c r="V38" s="189"/>
      <c r="W38" s="188"/>
      <c r="X38" s="189"/>
      <c r="Y38" s="188"/>
      <c r="Z38" s="189"/>
      <c r="AA38" s="188"/>
      <c r="AB38" s="189"/>
      <c r="AC38" s="190"/>
      <c r="AD38" s="191"/>
      <c r="AE38" s="192"/>
      <c r="AF38" s="188"/>
      <c r="AG38" s="189"/>
      <c r="AH38" s="188"/>
      <c r="AI38" s="189"/>
      <c r="AJ38" s="188"/>
      <c r="AK38" s="189"/>
      <c r="AL38" s="190"/>
      <c r="AM38" s="191"/>
      <c r="AN38" s="192"/>
      <c r="AO38" s="188"/>
      <c r="AP38" s="189"/>
      <c r="AQ38" s="188"/>
      <c r="AR38" s="189"/>
      <c r="AS38" s="188"/>
      <c r="AT38" s="189"/>
      <c r="AU38" s="190"/>
      <c r="AV38" s="191"/>
      <c r="AW38" s="192"/>
      <c r="AX38" s="188"/>
      <c r="AY38" s="189"/>
      <c r="AZ38" s="188"/>
      <c r="BA38" s="189"/>
      <c r="BB38" s="188"/>
      <c r="BC38" s="189"/>
      <c r="BD38" s="190"/>
      <c r="BE38" s="191"/>
      <c r="BF38" s="192"/>
      <c r="BG38" s="188"/>
      <c r="BH38" s="189"/>
      <c r="BI38" s="188"/>
      <c r="BJ38" s="189"/>
      <c r="BK38" s="188"/>
      <c r="BL38" s="189"/>
      <c r="BM38" s="190"/>
      <c r="BN38" s="191"/>
      <c r="BO38" s="192"/>
      <c r="BP38" s="188"/>
      <c r="BQ38" s="189"/>
      <c r="BR38" s="188"/>
      <c r="BS38" s="189"/>
      <c r="BT38" s="188"/>
      <c r="BU38" s="189"/>
      <c r="BV38" s="190"/>
      <c r="BW38" s="191"/>
      <c r="BX38" s="192"/>
      <c r="BY38" s="188"/>
      <c r="BZ38" s="189"/>
      <c r="CA38" s="188"/>
      <c r="CB38" s="189"/>
      <c r="CC38" s="188"/>
      <c r="CD38" s="189"/>
      <c r="CE38" s="190"/>
      <c r="CF38" s="191"/>
      <c r="CG38" s="192"/>
      <c r="CH38" s="188"/>
      <c r="CI38" s="189"/>
      <c r="CJ38" s="188"/>
      <c r="CK38" s="189"/>
      <c r="CL38" s="188"/>
      <c r="CM38" s="189"/>
      <c r="CN38" s="190"/>
      <c r="CO38" s="191"/>
      <c r="CP38" s="192"/>
      <c r="CQ38" s="188"/>
      <c r="CR38" s="189"/>
      <c r="CS38" s="188"/>
      <c r="CT38" s="189"/>
      <c r="CU38" s="188"/>
      <c r="CV38" s="189"/>
      <c r="CW38" s="190"/>
      <c r="CX38" s="191"/>
      <c r="CY38" s="192"/>
      <c r="CZ38" s="188"/>
      <c r="DA38" s="189"/>
      <c r="DB38" s="188"/>
      <c r="DC38" s="189"/>
      <c r="DD38" s="188"/>
      <c r="DE38" s="189"/>
      <c r="DF38" s="190"/>
      <c r="DG38" s="191"/>
      <c r="DH38" s="192"/>
      <c r="DI38" s="188"/>
      <c r="DJ38" s="189"/>
      <c r="DK38" s="189"/>
      <c r="DL38" s="189"/>
    </row>
    <row r="39" ht="15.75" customHeight="1">
      <c r="B39" s="178" t="str">
        <f>PLGK!B41</f>
        <v>5.2 </v>
      </c>
      <c r="C39" s="179" t="str">
        <f>PLGK!C41</f>
        <v>Belanja Modal</v>
      </c>
      <c r="D39" s="180"/>
      <c r="E39" s="180"/>
      <c r="F39" s="181"/>
      <c r="G39" s="182"/>
      <c r="H39" s="182"/>
      <c r="I39" s="183"/>
      <c r="J39" s="184">
        <f>PLGK!J41</f>
        <v>61372400</v>
      </c>
      <c r="K39" s="188"/>
      <c r="L39" s="189"/>
      <c r="M39" s="190"/>
      <c r="N39" s="189"/>
      <c r="O39" s="189"/>
      <c r="P39" s="188"/>
      <c r="Q39" s="189"/>
      <c r="R39" s="188"/>
      <c r="S39" s="189"/>
      <c r="T39" s="190"/>
      <c r="U39" s="189"/>
      <c r="V39" s="189"/>
      <c r="W39" s="188"/>
      <c r="X39" s="189"/>
      <c r="Y39" s="188"/>
      <c r="Z39" s="189"/>
      <c r="AA39" s="188"/>
      <c r="AB39" s="189"/>
      <c r="AC39" s="190"/>
      <c r="AD39" s="191"/>
      <c r="AE39" s="192"/>
      <c r="AF39" s="188"/>
      <c r="AG39" s="189"/>
      <c r="AH39" s="188"/>
      <c r="AI39" s="189"/>
      <c r="AJ39" s="188"/>
      <c r="AK39" s="189"/>
      <c r="AL39" s="190"/>
      <c r="AM39" s="191"/>
      <c r="AN39" s="192"/>
      <c r="AO39" s="188"/>
      <c r="AP39" s="189"/>
      <c r="AQ39" s="188"/>
      <c r="AR39" s="189"/>
      <c r="AS39" s="188"/>
      <c r="AT39" s="189"/>
      <c r="AU39" s="190"/>
      <c r="AV39" s="191"/>
      <c r="AW39" s="192"/>
      <c r="AX39" s="188"/>
      <c r="AY39" s="189"/>
      <c r="AZ39" s="188"/>
      <c r="BA39" s="189"/>
      <c r="BB39" s="188"/>
      <c r="BC39" s="189"/>
      <c r="BD39" s="190"/>
      <c r="BE39" s="191"/>
      <c r="BF39" s="192"/>
      <c r="BG39" s="188"/>
      <c r="BH39" s="189"/>
      <c r="BI39" s="188"/>
      <c r="BJ39" s="189"/>
      <c r="BK39" s="188"/>
      <c r="BL39" s="189"/>
      <c r="BM39" s="190"/>
      <c r="BN39" s="191"/>
      <c r="BO39" s="192"/>
      <c r="BP39" s="188"/>
      <c r="BQ39" s="189"/>
      <c r="BR39" s="188"/>
      <c r="BS39" s="189"/>
      <c r="BT39" s="188"/>
      <c r="BU39" s="189"/>
      <c r="BV39" s="190"/>
      <c r="BW39" s="191"/>
      <c r="BX39" s="192"/>
      <c r="BY39" s="188"/>
      <c r="BZ39" s="189"/>
      <c r="CA39" s="188"/>
      <c r="CB39" s="189"/>
      <c r="CC39" s="188"/>
      <c r="CD39" s="189"/>
      <c r="CE39" s="190"/>
      <c r="CF39" s="191"/>
      <c r="CG39" s="192"/>
      <c r="CH39" s="188"/>
      <c r="CI39" s="189"/>
      <c r="CJ39" s="188"/>
      <c r="CK39" s="189"/>
      <c r="CL39" s="188"/>
      <c r="CM39" s="189"/>
      <c r="CN39" s="190"/>
      <c r="CO39" s="191"/>
      <c r="CP39" s="192"/>
      <c r="CQ39" s="188"/>
      <c r="CR39" s="189"/>
      <c r="CS39" s="188"/>
      <c r="CT39" s="189"/>
      <c r="CU39" s="188"/>
      <c r="CV39" s="189"/>
      <c r="CW39" s="190"/>
      <c r="CX39" s="191"/>
      <c r="CY39" s="192"/>
      <c r="CZ39" s="188"/>
      <c r="DA39" s="189"/>
      <c r="DB39" s="188"/>
      <c r="DC39" s="189"/>
      <c r="DD39" s="188"/>
      <c r="DE39" s="189"/>
      <c r="DF39" s="190"/>
      <c r="DG39" s="191"/>
      <c r="DH39" s="192"/>
      <c r="DI39" s="188"/>
      <c r="DJ39" s="189"/>
      <c r="DK39" s="189"/>
      <c r="DL39" s="189"/>
    </row>
    <row r="40" ht="15.75" customHeight="1">
      <c r="B40" s="178" t="str">
        <f>PLGK!B42</f>
        <v>5.2.02</v>
      </c>
      <c r="C40" s="179" t="str">
        <f>PLGK!C42</f>
        <v>Belanja Modal Perapatan dan Mesin</v>
      </c>
      <c r="D40" s="180"/>
      <c r="E40" s="180"/>
      <c r="F40" s="181"/>
      <c r="G40" s="182"/>
      <c r="H40" s="182"/>
      <c r="I40" s="183"/>
      <c r="J40" s="184">
        <f>PLGK!J42</f>
        <v>61372400</v>
      </c>
      <c r="K40" s="188"/>
      <c r="L40" s="189"/>
      <c r="M40" s="190"/>
      <c r="N40" s="189"/>
      <c r="O40" s="189"/>
      <c r="P40" s="188"/>
      <c r="Q40" s="189"/>
      <c r="R40" s="188"/>
      <c r="S40" s="189"/>
      <c r="T40" s="190"/>
      <c r="U40" s="189"/>
      <c r="V40" s="189"/>
      <c r="W40" s="188"/>
      <c r="X40" s="189"/>
      <c r="Y40" s="188"/>
      <c r="Z40" s="189"/>
      <c r="AA40" s="188"/>
      <c r="AB40" s="189"/>
      <c r="AC40" s="190"/>
      <c r="AD40" s="191"/>
      <c r="AE40" s="192"/>
      <c r="AF40" s="188"/>
      <c r="AG40" s="189"/>
      <c r="AH40" s="188"/>
      <c r="AI40" s="189"/>
      <c r="AJ40" s="188"/>
      <c r="AK40" s="189"/>
      <c r="AL40" s="190"/>
      <c r="AM40" s="191"/>
      <c r="AN40" s="192"/>
      <c r="AO40" s="188"/>
      <c r="AP40" s="189"/>
      <c r="AQ40" s="188"/>
      <c r="AR40" s="189"/>
      <c r="AS40" s="188"/>
      <c r="AT40" s="189"/>
      <c r="AU40" s="190"/>
      <c r="AV40" s="191"/>
      <c r="AW40" s="192"/>
      <c r="AX40" s="188"/>
      <c r="AY40" s="189"/>
      <c r="AZ40" s="188"/>
      <c r="BA40" s="189"/>
      <c r="BB40" s="188"/>
      <c r="BC40" s="189"/>
      <c r="BD40" s="190"/>
      <c r="BE40" s="191"/>
      <c r="BF40" s="192"/>
      <c r="BG40" s="188"/>
      <c r="BH40" s="189"/>
      <c r="BI40" s="188"/>
      <c r="BJ40" s="189"/>
      <c r="BK40" s="188"/>
      <c r="BL40" s="189"/>
      <c r="BM40" s="190"/>
      <c r="BN40" s="191"/>
      <c r="BO40" s="192"/>
      <c r="BP40" s="188"/>
      <c r="BQ40" s="189"/>
      <c r="BR40" s="188"/>
      <c r="BS40" s="189"/>
      <c r="BT40" s="188"/>
      <c r="BU40" s="189"/>
      <c r="BV40" s="190"/>
      <c r="BW40" s="191"/>
      <c r="BX40" s="192"/>
      <c r="BY40" s="188"/>
      <c r="BZ40" s="189"/>
      <c r="CA40" s="188"/>
      <c r="CB40" s="189"/>
      <c r="CC40" s="188"/>
      <c r="CD40" s="189"/>
      <c r="CE40" s="190"/>
      <c r="CF40" s="191"/>
      <c r="CG40" s="192"/>
      <c r="CH40" s="188"/>
      <c r="CI40" s="189"/>
      <c r="CJ40" s="188"/>
      <c r="CK40" s="189"/>
      <c r="CL40" s="188"/>
      <c r="CM40" s="189"/>
      <c r="CN40" s="190"/>
      <c r="CO40" s="191"/>
      <c r="CP40" s="192"/>
      <c r="CQ40" s="188"/>
      <c r="CR40" s="189"/>
      <c r="CS40" s="188"/>
      <c r="CT40" s="189"/>
      <c r="CU40" s="188"/>
      <c r="CV40" s="189"/>
      <c r="CW40" s="190"/>
      <c r="CX40" s="191"/>
      <c r="CY40" s="192"/>
      <c r="CZ40" s="188"/>
      <c r="DA40" s="189"/>
      <c r="DB40" s="188"/>
      <c r="DC40" s="189"/>
      <c r="DD40" s="188"/>
      <c r="DE40" s="189"/>
      <c r="DF40" s="190"/>
      <c r="DG40" s="191"/>
      <c r="DH40" s="192"/>
      <c r="DI40" s="188"/>
      <c r="DJ40" s="189"/>
      <c r="DK40" s="189"/>
      <c r="DL40" s="189"/>
    </row>
    <row r="41" ht="15.75" customHeight="1">
      <c r="B41" s="178" t="str">
        <f>PLGK!B43</f>
        <v>5.2.02.05</v>
      </c>
      <c r="C41" s="179" t="str">
        <f>PLGK!C43</f>
        <v>Belanja Modal Alat Kantor dan Rumah Tangga</v>
      </c>
      <c r="D41" s="180"/>
      <c r="E41" s="180"/>
      <c r="F41" s="181"/>
      <c r="G41" s="182"/>
      <c r="H41" s="182"/>
      <c r="I41" s="183"/>
      <c r="J41" s="184">
        <f>PLGK!J43</f>
        <v>61372400</v>
      </c>
      <c r="K41" s="188"/>
      <c r="L41" s="189"/>
      <c r="M41" s="190"/>
      <c r="N41" s="189"/>
      <c r="O41" s="189"/>
      <c r="P41" s="188"/>
      <c r="Q41" s="189"/>
      <c r="R41" s="188"/>
      <c r="S41" s="189"/>
      <c r="T41" s="190"/>
      <c r="U41" s="189"/>
      <c r="V41" s="189"/>
      <c r="W41" s="188"/>
      <c r="X41" s="189"/>
      <c r="Y41" s="188"/>
      <c r="Z41" s="189"/>
      <c r="AA41" s="188"/>
      <c r="AB41" s="189"/>
      <c r="AC41" s="190"/>
      <c r="AD41" s="191"/>
      <c r="AE41" s="192"/>
      <c r="AF41" s="188"/>
      <c r="AG41" s="189"/>
      <c r="AH41" s="188"/>
      <c r="AI41" s="189"/>
      <c r="AJ41" s="188"/>
      <c r="AK41" s="189"/>
      <c r="AL41" s="190"/>
      <c r="AM41" s="191"/>
      <c r="AN41" s="192"/>
      <c r="AO41" s="188"/>
      <c r="AP41" s="189"/>
      <c r="AQ41" s="188"/>
      <c r="AR41" s="189"/>
      <c r="AS41" s="188"/>
      <c r="AT41" s="189"/>
      <c r="AU41" s="190"/>
      <c r="AV41" s="191"/>
      <c r="AW41" s="192"/>
      <c r="AX41" s="188"/>
      <c r="AY41" s="189"/>
      <c r="AZ41" s="188"/>
      <c r="BA41" s="189"/>
      <c r="BB41" s="188"/>
      <c r="BC41" s="189"/>
      <c r="BD41" s="190"/>
      <c r="BE41" s="191"/>
      <c r="BF41" s="192"/>
      <c r="BG41" s="188"/>
      <c r="BH41" s="189"/>
      <c r="BI41" s="188"/>
      <c r="BJ41" s="189"/>
      <c r="BK41" s="188"/>
      <c r="BL41" s="189"/>
      <c r="BM41" s="190"/>
      <c r="BN41" s="191"/>
      <c r="BO41" s="192"/>
      <c r="BP41" s="188"/>
      <c r="BQ41" s="189"/>
      <c r="BR41" s="188"/>
      <c r="BS41" s="189"/>
      <c r="BT41" s="188"/>
      <c r="BU41" s="189"/>
      <c r="BV41" s="190"/>
      <c r="BW41" s="191"/>
      <c r="BX41" s="192"/>
      <c r="BY41" s="188"/>
      <c r="BZ41" s="189"/>
      <c r="CA41" s="188"/>
      <c r="CB41" s="189"/>
      <c r="CC41" s="188"/>
      <c r="CD41" s="189"/>
      <c r="CE41" s="190"/>
      <c r="CF41" s="191"/>
      <c r="CG41" s="192"/>
      <c r="CH41" s="188"/>
      <c r="CI41" s="189"/>
      <c r="CJ41" s="188"/>
      <c r="CK41" s="189"/>
      <c r="CL41" s="188"/>
      <c r="CM41" s="189"/>
      <c r="CN41" s="190"/>
      <c r="CO41" s="191"/>
      <c r="CP41" s="192"/>
      <c r="CQ41" s="188"/>
      <c r="CR41" s="189"/>
      <c r="CS41" s="188"/>
      <c r="CT41" s="189"/>
      <c r="CU41" s="188"/>
      <c r="CV41" s="189"/>
      <c r="CW41" s="190"/>
      <c r="CX41" s="191"/>
      <c r="CY41" s="192"/>
      <c r="CZ41" s="188"/>
      <c r="DA41" s="189"/>
      <c r="DB41" s="188"/>
      <c r="DC41" s="189"/>
      <c r="DD41" s="188"/>
      <c r="DE41" s="189"/>
      <c r="DF41" s="190"/>
      <c r="DG41" s="191"/>
      <c r="DH41" s="192"/>
      <c r="DI41" s="188"/>
      <c r="DJ41" s="189"/>
      <c r="DK41" s="189"/>
      <c r="DL41" s="189"/>
    </row>
    <row r="42" ht="15.75" customHeight="1">
      <c r="B42" s="178" t="str">
        <f>PLGK!B44</f>
        <v>5.2.02.05.001</v>
      </c>
      <c r="C42" s="179" t="str">
        <f>PLGK!C44</f>
        <v>Belanja Modal Alat Kantor</v>
      </c>
      <c r="D42" s="180"/>
      <c r="E42" s="180"/>
      <c r="F42" s="181"/>
      <c r="G42" s="182"/>
      <c r="H42" s="182"/>
      <c r="I42" s="183"/>
      <c r="J42" s="184">
        <f>PLGK!J44</f>
        <v>34347600</v>
      </c>
      <c r="K42" s="188"/>
      <c r="L42" s="189"/>
      <c r="M42" s="190"/>
      <c r="N42" s="189"/>
      <c r="O42" s="189"/>
      <c r="P42" s="188"/>
      <c r="Q42" s="189"/>
      <c r="R42" s="188"/>
      <c r="S42" s="189"/>
      <c r="T42" s="190"/>
      <c r="U42" s="189"/>
      <c r="V42" s="189"/>
      <c r="W42" s="188"/>
      <c r="X42" s="189"/>
      <c r="Y42" s="188"/>
      <c r="Z42" s="189"/>
      <c r="AA42" s="188"/>
      <c r="AB42" s="189"/>
      <c r="AC42" s="190"/>
      <c r="AD42" s="191"/>
      <c r="AE42" s="192"/>
      <c r="AF42" s="188"/>
      <c r="AG42" s="189"/>
      <c r="AH42" s="188"/>
      <c r="AI42" s="189"/>
      <c r="AJ42" s="188"/>
      <c r="AK42" s="189"/>
      <c r="AL42" s="190"/>
      <c r="AM42" s="191"/>
      <c r="AN42" s="192"/>
      <c r="AO42" s="188"/>
      <c r="AP42" s="189"/>
      <c r="AQ42" s="188"/>
      <c r="AR42" s="189"/>
      <c r="AS42" s="188"/>
      <c r="AT42" s="189"/>
      <c r="AU42" s="190"/>
      <c r="AV42" s="191"/>
      <c r="AW42" s="192"/>
      <c r="AX42" s="188"/>
      <c r="AY42" s="189"/>
      <c r="AZ42" s="188"/>
      <c r="BA42" s="189"/>
      <c r="BB42" s="188"/>
      <c r="BC42" s="189"/>
      <c r="BD42" s="190"/>
      <c r="BE42" s="191"/>
      <c r="BF42" s="192"/>
      <c r="BG42" s="188"/>
      <c r="BH42" s="189"/>
      <c r="BI42" s="188"/>
      <c r="BJ42" s="189"/>
      <c r="BK42" s="188"/>
      <c r="BL42" s="189"/>
      <c r="BM42" s="190"/>
      <c r="BN42" s="191"/>
      <c r="BO42" s="192"/>
      <c r="BP42" s="188"/>
      <c r="BQ42" s="189"/>
      <c r="BR42" s="188"/>
      <c r="BS42" s="189"/>
      <c r="BT42" s="188"/>
      <c r="BU42" s="189"/>
      <c r="BV42" s="190"/>
      <c r="BW42" s="191"/>
      <c r="BX42" s="192"/>
      <c r="BY42" s="188"/>
      <c r="BZ42" s="189"/>
      <c r="CA42" s="188"/>
      <c r="CB42" s="189"/>
      <c r="CC42" s="188"/>
      <c r="CD42" s="189"/>
      <c r="CE42" s="190"/>
      <c r="CF42" s="191"/>
      <c r="CG42" s="192"/>
      <c r="CH42" s="188"/>
      <c r="CI42" s="189"/>
      <c r="CJ42" s="188"/>
      <c r="CK42" s="189"/>
      <c r="CL42" s="188"/>
      <c r="CM42" s="189"/>
      <c r="CN42" s="190"/>
      <c r="CO42" s="191"/>
      <c r="CP42" s="192"/>
      <c r="CQ42" s="188"/>
      <c r="CR42" s="189"/>
      <c r="CS42" s="188"/>
      <c r="CT42" s="189"/>
      <c r="CU42" s="188"/>
      <c r="CV42" s="189"/>
      <c r="CW42" s="190"/>
      <c r="CX42" s="191"/>
      <c r="CY42" s="192"/>
      <c r="CZ42" s="188"/>
      <c r="DA42" s="189"/>
      <c r="DB42" s="188"/>
      <c r="DC42" s="189"/>
      <c r="DD42" s="188"/>
      <c r="DE42" s="189"/>
      <c r="DF42" s="190"/>
      <c r="DG42" s="191"/>
      <c r="DH42" s="192"/>
      <c r="DI42" s="188"/>
      <c r="DJ42" s="189"/>
      <c r="DK42" s="189"/>
      <c r="DL42" s="189"/>
    </row>
    <row r="43" ht="15.75" customHeight="1">
      <c r="B43" s="178" t="str">
        <f>PLGK!B45</f>
        <v>5.2.02.05.001.00005</v>
      </c>
      <c r="C43" s="179" t="str">
        <f>PLGK!C45</f>
        <v>Belanja Modal Alat Kantor Lainnya</v>
      </c>
      <c r="D43" s="180"/>
      <c r="E43" s="180"/>
      <c r="F43" s="181"/>
      <c r="G43" s="182"/>
      <c r="H43" s="182"/>
      <c r="I43" s="183"/>
      <c r="J43" s="184">
        <f>PLGK!J45</f>
        <v>34347600</v>
      </c>
      <c r="K43" s="188"/>
      <c r="L43" s="189"/>
      <c r="M43" s="190"/>
      <c r="N43" s="189"/>
      <c r="O43" s="189"/>
      <c r="P43" s="188"/>
      <c r="Q43" s="189"/>
      <c r="R43" s="188"/>
      <c r="S43" s="189"/>
      <c r="T43" s="190"/>
      <c r="U43" s="189"/>
      <c r="V43" s="189"/>
      <c r="W43" s="188"/>
      <c r="X43" s="189"/>
      <c r="Y43" s="188"/>
      <c r="Z43" s="189"/>
      <c r="AA43" s="188"/>
      <c r="AB43" s="189"/>
      <c r="AC43" s="190"/>
      <c r="AD43" s="191"/>
      <c r="AE43" s="192"/>
      <c r="AF43" s="188"/>
      <c r="AG43" s="189"/>
      <c r="AH43" s="188"/>
      <c r="AI43" s="189"/>
      <c r="AJ43" s="188"/>
      <c r="AK43" s="189"/>
      <c r="AL43" s="190"/>
      <c r="AM43" s="191"/>
      <c r="AN43" s="192"/>
      <c r="AO43" s="188"/>
      <c r="AP43" s="189"/>
      <c r="AQ43" s="188"/>
      <c r="AR43" s="189"/>
      <c r="AS43" s="188"/>
      <c r="AT43" s="189"/>
      <c r="AU43" s="190"/>
      <c r="AV43" s="191"/>
      <c r="AW43" s="192"/>
      <c r="AX43" s="188"/>
      <c r="AY43" s="189"/>
      <c r="AZ43" s="188"/>
      <c r="BA43" s="189"/>
      <c r="BB43" s="188"/>
      <c r="BC43" s="189"/>
      <c r="BD43" s="190"/>
      <c r="BE43" s="191"/>
      <c r="BF43" s="192"/>
      <c r="BG43" s="188"/>
      <c r="BH43" s="189"/>
      <c r="BI43" s="188"/>
      <c r="BJ43" s="189"/>
      <c r="BK43" s="188"/>
      <c r="BL43" s="189"/>
      <c r="BM43" s="190"/>
      <c r="BN43" s="191"/>
      <c r="BO43" s="192"/>
      <c r="BP43" s="188"/>
      <c r="BQ43" s="189"/>
      <c r="BR43" s="188"/>
      <c r="BS43" s="189"/>
      <c r="BT43" s="188"/>
      <c r="BU43" s="189"/>
      <c r="BV43" s="190"/>
      <c r="BW43" s="191"/>
      <c r="BX43" s="192"/>
      <c r="BY43" s="188"/>
      <c r="BZ43" s="189"/>
      <c r="CA43" s="188"/>
      <c r="CB43" s="189"/>
      <c r="CC43" s="188"/>
      <c r="CD43" s="189"/>
      <c r="CE43" s="190"/>
      <c r="CF43" s="191"/>
      <c r="CG43" s="192"/>
      <c r="CH43" s="188"/>
      <c r="CI43" s="189"/>
      <c r="CJ43" s="188"/>
      <c r="CK43" s="189"/>
      <c r="CL43" s="188"/>
      <c r="CM43" s="189"/>
      <c r="CN43" s="190"/>
      <c r="CO43" s="191"/>
      <c r="CP43" s="192"/>
      <c r="CQ43" s="188"/>
      <c r="CR43" s="189"/>
      <c r="CS43" s="188"/>
      <c r="CT43" s="189"/>
      <c r="CU43" s="188"/>
      <c r="CV43" s="189"/>
      <c r="CW43" s="190"/>
      <c r="CX43" s="191"/>
      <c r="CY43" s="192"/>
      <c r="CZ43" s="188"/>
      <c r="DA43" s="189"/>
      <c r="DB43" s="188"/>
      <c r="DC43" s="189"/>
      <c r="DD43" s="188"/>
      <c r="DE43" s="189"/>
      <c r="DF43" s="190"/>
      <c r="DG43" s="191"/>
      <c r="DH43" s="192"/>
      <c r="DI43" s="188"/>
      <c r="DJ43" s="189"/>
      <c r="DK43" s="189"/>
      <c r="DL43" s="189"/>
    </row>
    <row r="44" ht="15.75" customHeight="1">
      <c r="A44" s="8"/>
      <c r="B44" s="182"/>
      <c r="C44" s="196"/>
      <c r="D44" s="197" t="str">
        <f>PLGK!D46</f>
        <v>-</v>
      </c>
      <c r="E44" s="197" t="str">
        <f>PLGK!E46</f>
        <v>Peralatan Studio Video dan Film
Spesifikasi : Kamera Foto (SONY A7 IV
BODY + LENSA ZOOM 28-70MM)</v>
      </c>
      <c r="F44" s="198"/>
      <c r="G44" s="182"/>
      <c r="H44" s="182"/>
      <c r="I44" s="183">
        <f>PLGK!I46</f>
        <v>34347600</v>
      </c>
      <c r="J44" s="183">
        <f>PLGK!J46</f>
        <v>34347600</v>
      </c>
      <c r="K44" s="188"/>
      <c r="L44" s="189"/>
      <c r="M44" s="199"/>
      <c r="N44" s="189"/>
      <c r="O44" s="189"/>
      <c r="P44" s="188"/>
      <c r="Q44" s="189"/>
      <c r="R44" s="188"/>
      <c r="S44" s="189"/>
      <c r="T44" s="199"/>
      <c r="U44" s="189"/>
      <c r="V44" s="189"/>
      <c r="W44" s="188"/>
      <c r="X44" s="189"/>
      <c r="Y44" s="188"/>
      <c r="Z44" s="189"/>
      <c r="AA44" s="188"/>
      <c r="AB44" s="189"/>
      <c r="AC44" s="199"/>
      <c r="AD44" s="200"/>
      <c r="AE44" s="201"/>
      <c r="AF44" s="188"/>
      <c r="AG44" s="189"/>
      <c r="AH44" s="188"/>
      <c r="AI44" s="189"/>
      <c r="AJ44" s="188"/>
      <c r="AK44" s="189"/>
      <c r="AL44" s="199"/>
      <c r="AM44" s="200"/>
      <c r="AN44" s="201"/>
      <c r="AO44" s="188"/>
      <c r="AP44" s="189"/>
      <c r="AQ44" s="188"/>
      <c r="AR44" s="189"/>
      <c r="AS44" s="188"/>
      <c r="AT44" s="189"/>
      <c r="AU44" s="199"/>
      <c r="AV44" s="200"/>
      <c r="AW44" s="201"/>
      <c r="AX44" s="188"/>
      <c r="AY44" s="189"/>
      <c r="AZ44" s="188"/>
      <c r="BA44" s="189"/>
      <c r="BB44" s="188"/>
      <c r="BC44" s="189"/>
      <c r="BD44" s="199"/>
      <c r="BE44" s="200"/>
      <c r="BF44" s="201"/>
      <c r="BG44" s="188"/>
      <c r="BH44" s="189"/>
      <c r="BI44" s="188"/>
      <c r="BJ44" s="189"/>
      <c r="BK44" s="188"/>
      <c r="BL44" s="189"/>
      <c r="BM44" s="199"/>
      <c r="BN44" s="200"/>
      <c r="BO44" s="201"/>
      <c r="BP44" s="188"/>
      <c r="BQ44" s="189"/>
      <c r="BR44" s="188"/>
      <c r="BS44" s="189"/>
      <c r="BT44" s="188"/>
      <c r="BU44" s="189"/>
      <c r="BV44" s="199"/>
      <c r="BW44" s="200"/>
      <c r="BX44" s="201"/>
      <c r="BY44" s="188"/>
      <c r="BZ44" s="189"/>
      <c r="CA44" s="188"/>
      <c r="CB44" s="189"/>
      <c r="CC44" s="188"/>
      <c r="CD44" s="189"/>
      <c r="CE44" s="199"/>
      <c r="CF44" s="200"/>
      <c r="CG44" s="201"/>
      <c r="CH44" s="188"/>
      <c r="CI44" s="189"/>
      <c r="CJ44" s="188"/>
      <c r="CK44" s="189"/>
      <c r="CL44" s="188"/>
      <c r="CM44" s="189"/>
      <c r="CN44" s="199"/>
      <c r="CO44" s="200"/>
      <c r="CP44" s="201"/>
      <c r="CQ44" s="188"/>
      <c r="CR44" s="189"/>
      <c r="CS44" s="188"/>
      <c r="CT44" s="189"/>
      <c r="CU44" s="188"/>
      <c r="CV44" s="189"/>
      <c r="CW44" s="199"/>
      <c r="CX44" s="200"/>
      <c r="CY44" s="201"/>
      <c r="CZ44" s="188"/>
      <c r="DA44" s="189"/>
      <c r="DB44" s="188"/>
      <c r="DC44" s="189"/>
      <c r="DD44" s="188"/>
      <c r="DE44" s="189"/>
      <c r="DF44" s="199"/>
      <c r="DG44" s="200"/>
      <c r="DH44" s="201"/>
      <c r="DI44" s="188"/>
      <c r="DJ44" s="189"/>
      <c r="DK44" s="189"/>
      <c r="DL44" s="189"/>
    </row>
    <row r="45" ht="15.75" customHeight="1">
      <c r="B45" s="178"/>
      <c r="C45" s="179"/>
      <c r="D45" s="180"/>
      <c r="E45" s="180"/>
      <c r="F45" s="181"/>
      <c r="G45" s="182"/>
      <c r="H45" s="182"/>
      <c r="I45" s="183"/>
      <c r="J45" s="183"/>
      <c r="K45" s="188"/>
      <c r="L45" s="189"/>
      <c r="M45" s="190"/>
      <c r="N45" s="189"/>
      <c r="O45" s="189"/>
      <c r="P45" s="188"/>
      <c r="Q45" s="189"/>
      <c r="R45" s="188"/>
      <c r="S45" s="189"/>
      <c r="T45" s="190"/>
      <c r="U45" s="189"/>
      <c r="V45" s="189"/>
      <c r="W45" s="188"/>
      <c r="X45" s="189"/>
      <c r="Y45" s="188"/>
      <c r="Z45" s="189"/>
      <c r="AA45" s="188"/>
      <c r="AB45" s="189"/>
      <c r="AC45" s="190"/>
      <c r="AD45" s="191"/>
      <c r="AE45" s="192"/>
      <c r="AF45" s="188"/>
      <c r="AG45" s="189"/>
      <c r="AH45" s="188"/>
      <c r="AI45" s="189"/>
      <c r="AJ45" s="188"/>
      <c r="AK45" s="189"/>
      <c r="AL45" s="190"/>
      <c r="AM45" s="191"/>
      <c r="AN45" s="192"/>
      <c r="AO45" s="188"/>
      <c r="AP45" s="189"/>
      <c r="AQ45" s="188"/>
      <c r="AR45" s="189"/>
      <c r="AS45" s="188"/>
      <c r="AT45" s="189"/>
      <c r="AU45" s="190"/>
      <c r="AV45" s="191"/>
      <c r="AW45" s="192"/>
      <c r="AX45" s="188"/>
      <c r="AY45" s="189"/>
      <c r="AZ45" s="188"/>
      <c r="BA45" s="189"/>
      <c r="BB45" s="188"/>
      <c r="BC45" s="189"/>
      <c r="BD45" s="190"/>
      <c r="BE45" s="191"/>
      <c r="BF45" s="192"/>
      <c r="BG45" s="188"/>
      <c r="BH45" s="189"/>
      <c r="BI45" s="188"/>
      <c r="BJ45" s="189"/>
      <c r="BK45" s="188"/>
      <c r="BL45" s="189"/>
      <c r="BM45" s="190"/>
      <c r="BN45" s="191"/>
      <c r="BO45" s="192"/>
      <c r="BP45" s="188"/>
      <c r="BQ45" s="189"/>
      <c r="BR45" s="188"/>
      <c r="BS45" s="189"/>
      <c r="BT45" s="188"/>
      <c r="BU45" s="189"/>
      <c r="BV45" s="190"/>
      <c r="BW45" s="191"/>
      <c r="BX45" s="192"/>
      <c r="BY45" s="188"/>
      <c r="BZ45" s="189"/>
      <c r="CA45" s="188"/>
      <c r="CB45" s="189"/>
      <c r="CC45" s="188"/>
      <c r="CD45" s="189"/>
      <c r="CE45" s="190"/>
      <c r="CF45" s="191"/>
      <c r="CG45" s="192"/>
      <c r="CH45" s="188"/>
      <c r="CI45" s="189"/>
      <c r="CJ45" s="188"/>
      <c r="CK45" s="189"/>
      <c r="CL45" s="188"/>
      <c r="CM45" s="189"/>
      <c r="CN45" s="190"/>
      <c r="CO45" s="191"/>
      <c r="CP45" s="192"/>
      <c r="CQ45" s="188"/>
      <c r="CR45" s="189"/>
      <c r="CS45" s="188"/>
      <c r="CT45" s="189"/>
      <c r="CU45" s="188"/>
      <c r="CV45" s="189"/>
      <c r="CW45" s="190"/>
      <c r="CX45" s="191"/>
      <c r="CY45" s="192"/>
      <c r="CZ45" s="188"/>
      <c r="DA45" s="189"/>
      <c r="DB45" s="188"/>
      <c r="DC45" s="189"/>
      <c r="DD45" s="188"/>
      <c r="DE45" s="189"/>
      <c r="DF45" s="190"/>
      <c r="DG45" s="191"/>
      <c r="DH45" s="192"/>
      <c r="DI45" s="188"/>
      <c r="DJ45" s="189"/>
      <c r="DK45" s="189"/>
      <c r="DL45" s="189"/>
    </row>
    <row r="46" ht="15.75" customHeight="1">
      <c r="A46" s="8"/>
      <c r="B46" s="178" t="str">
        <f>PLGK!B48</f>
        <v>5.2.02.05.002</v>
      </c>
      <c r="C46" s="179" t="str">
        <f>PLGK!C48</f>
        <v>Belanja Modal Alat Rumah Tangga</v>
      </c>
      <c r="D46" s="180"/>
      <c r="E46" s="180"/>
      <c r="F46" s="181"/>
      <c r="G46" s="182"/>
      <c r="H46" s="182"/>
      <c r="I46" s="183"/>
      <c r="J46" s="184">
        <f>PLGK!J48</f>
        <v>27024800</v>
      </c>
      <c r="K46" s="188"/>
      <c r="L46" s="189"/>
      <c r="M46" s="188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8"/>
      <c r="Z46" s="189"/>
      <c r="AA46" s="188"/>
      <c r="AB46" s="189"/>
      <c r="AC46" s="188"/>
      <c r="AD46" s="191"/>
      <c r="AE46" s="189"/>
      <c r="AF46" s="188"/>
      <c r="AG46" s="189"/>
      <c r="AH46" s="188"/>
      <c r="AI46" s="189"/>
      <c r="AJ46" s="188"/>
      <c r="AK46" s="189"/>
      <c r="AL46" s="188"/>
      <c r="AM46" s="191"/>
      <c r="AN46" s="189"/>
      <c r="AO46" s="188"/>
      <c r="AP46" s="189"/>
      <c r="AQ46" s="188"/>
      <c r="AR46" s="189"/>
      <c r="AS46" s="188"/>
      <c r="AT46" s="189"/>
      <c r="AU46" s="188"/>
      <c r="AV46" s="191"/>
      <c r="AW46" s="189"/>
      <c r="AX46" s="188"/>
      <c r="AY46" s="189"/>
      <c r="AZ46" s="188"/>
      <c r="BA46" s="189"/>
      <c r="BB46" s="188"/>
      <c r="BC46" s="189"/>
      <c r="BD46" s="188"/>
      <c r="BE46" s="191"/>
      <c r="BF46" s="189"/>
      <c r="BG46" s="188"/>
      <c r="BH46" s="189"/>
      <c r="BI46" s="188"/>
      <c r="BJ46" s="189"/>
      <c r="BK46" s="188"/>
      <c r="BL46" s="189"/>
      <c r="BM46" s="188"/>
      <c r="BN46" s="191"/>
      <c r="BO46" s="189"/>
      <c r="BP46" s="188"/>
      <c r="BQ46" s="189"/>
      <c r="BR46" s="188"/>
      <c r="BS46" s="189"/>
      <c r="BT46" s="188"/>
      <c r="BU46" s="189"/>
      <c r="BV46" s="188"/>
      <c r="BW46" s="191"/>
      <c r="BX46" s="189"/>
      <c r="BY46" s="188"/>
      <c r="BZ46" s="189"/>
      <c r="CA46" s="188"/>
      <c r="CB46" s="189"/>
      <c r="CC46" s="188"/>
      <c r="CD46" s="189"/>
      <c r="CE46" s="188"/>
      <c r="CF46" s="191"/>
      <c r="CG46" s="189"/>
      <c r="CH46" s="188"/>
      <c r="CI46" s="189"/>
      <c r="CJ46" s="188"/>
      <c r="CK46" s="189"/>
      <c r="CL46" s="188"/>
      <c r="CM46" s="189"/>
      <c r="CN46" s="188"/>
      <c r="CO46" s="191"/>
      <c r="CP46" s="189"/>
      <c r="CQ46" s="188"/>
      <c r="CR46" s="189"/>
      <c r="CS46" s="188"/>
      <c r="CT46" s="189"/>
      <c r="CU46" s="188"/>
      <c r="CV46" s="189"/>
      <c r="CW46" s="188"/>
      <c r="CX46" s="191"/>
      <c r="CY46" s="189"/>
      <c r="CZ46" s="188"/>
      <c r="DA46" s="189"/>
      <c r="DB46" s="188"/>
      <c r="DC46" s="189"/>
      <c r="DD46" s="188"/>
      <c r="DE46" s="189"/>
      <c r="DF46" s="188"/>
      <c r="DG46" s="191"/>
      <c r="DH46" s="189"/>
      <c r="DI46" s="188"/>
      <c r="DJ46" s="189"/>
      <c r="DK46" s="194"/>
      <c r="DL46" s="189"/>
    </row>
    <row r="47" ht="15.75" customHeight="1">
      <c r="A47" s="72"/>
      <c r="B47" s="178" t="str">
        <f>PLGK!B49</f>
        <v>5.2.02.05.002.000
06</v>
      </c>
      <c r="C47" s="179" t="str">
        <f>PLGK!C49</f>
        <v>Belanja Modal Alat Rumah Tangga Lainnya (Home Use)</v>
      </c>
      <c r="D47" s="180"/>
      <c r="E47" s="180"/>
      <c r="F47" s="181"/>
      <c r="G47" s="182"/>
      <c r="H47" s="182"/>
      <c r="I47" s="183"/>
      <c r="J47" s="184">
        <f>PLGK!J49</f>
        <v>27024800</v>
      </c>
      <c r="K47" s="101"/>
      <c r="L47" s="185"/>
      <c r="M47" s="101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91"/>
      <c r="AE47" s="185"/>
      <c r="AF47" s="185"/>
      <c r="AG47" s="185"/>
      <c r="AH47" s="185"/>
      <c r="AI47" s="185"/>
      <c r="AJ47" s="185"/>
      <c r="AK47" s="185"/>
      <c r="AL47" s="185"/>
      <c r="AM47" s="191"/>
      <c r="AN47" s="185"/>
      <c r="AO47" s="185"/>
      <c r="AP47" s="185"/>
      <c r="AQ47" s="185"/>
      <c r="AR47" s="185"/>
      <c r="AS47" s="185"/>
      <c r="AT47" s="185"/>
      <c r="AU47" s="185"/>
      <c r="AV47" s="191"/>
      <c r="AW47" s="185"/>
      <c r="AX47" s="185"/>
      <c r="AY47" s="185"/>
      <c r="AZ47" s="185"/>
      <c r="BA47" s="185"/>
      <c r="BB47" s="185"/>
      <c r="BC47" s="185"/>
      <c r="BD47" s="185"/>
      <c r="BE47" s="191"/>
      <c r="BF47" s="185"/>
      <c r="BG47" s="185"/>
      <c r="BH47" s="185"/>
      <c r="BI47" s="185"/>
      <c r="BJ47" s="185"/>
      <c r="BK47" s="185"/>
      <c r="BL47" s="185"/>
      <c r="BM47" s="185"/>
      <c r="BN47" s="191"/>
      <c r="BO47" s="185"/>
      <c r="BP47" s="185"/>
      <c r="BQ47" s="185"/>
      <c r="BR47" s="185"/>
      <c r="BS47" s="185"/>
      <c r="BT47" s="185"/>
      <c r="BU47" s="185"/>
      <c r="BV47" s="185"/>
      <c r="BW47" s="191"/>
      <c r="BX47" s="185"/>
      <c r="BY47" s="185"/>
      <c r="BZ47" s="185"/>
      <c r="CA47" s="185"/>
      <c r="CB47" s="185"/>
      <c r="CC47" s="185"/>
      <c r="CD47" s="185"/>
      <c r="CE47" s="185"/>
      <c r="CF47" s="191"/>
      <c r="CG47" s="185"/>
      <c r="CH47" s="185"/>
      <c r="CI47" s="185"/>
      <c r="CJ47" s="185"/>
      <c r="CK47" s="185"/>
      <c r="CL47" s="185"/>
      <c r="CM47" s="185"/>
      <c r="CN47" s="185"/>
      <c r="CO47" s="191"/>
      <c r="CP47" s="185"/>
      <c r="CQ47" s="185"/>
      <c r="CR47" s="185"/>
      <c r="CS47" s="185"/>
      <c r="CT47" s="185"/>
      <c r="CU47" s="185"/>
      <c r="CV47" s="185"/>
      <c r="CW47" s="185"/>
      <c r="CX47" s="191"/>
      <c r="CY47" s="185"/>
      <c r="CZ47" s="185"/>
      <c r="DA47" s="185"/>
      <c r="DB47" s="185"/>
      <c r="DC47" s="185"/>
      <c r="DD47" s="185"/>
      <c r="DE47" s="185"/>
      <c r="DF47" s="185"/>
      <c r="DG47" s="191"/>
      <c r="DH47" s="185"/>
      <c r="DI47" s="185"/>
      <c r="DJ47" s="185"/>
      <c r="DK47" s="186"/>
      <c r="DL47" s="185"/>
    </row>
    <row r="48" ht="15.75" customHeight="1">
      <c r="A48" s="8"/>
      <c r="B48" s="182"/>
      <c r="C48" s="196"/>
      <c r="D48" s="197" t="str">
        <f>PLGK!D50</f>
        <v>-</v>
      </c>
      <c r="E48" s="197" t="str">
        <f>PLGK!E50</f>
        <v>Televisi
Spesifikasi : Smart TV 70 Inch min. UHD 4K,
Garansi Min. 1 Tahun</v>
      </c>
      <c r="F48" s="198"/>
      <c r="G48" s="182"/>
      <c r="H48" s="182"/>
      <c r="I48" s="183">
        <f>PLGK!I50</f>
        <v>27024800</v>
      </c>
      <c r="J48" s="183">
        <f>PLGK!J50</f>
        <v>27024800</v>
      </c>
      <c r="K48" s="188"/>
      <c r="L48" s="189"/>
      <c r="M48" s="199"/>
      <c r="N48" s="189"/>
      <c r="O48" s="189"/>
      <c r="P48" s="202"/>
      <c r="Q48" s="189"/>
      <c r="R48" s="202"/>
      <c r="S48" s="189"/>
      <c r="T48" s="199"/>
      <c r="U48" s="189"/>
      <c r="V48" s="189"/>
      <c r="W48" s="188"/>
      <c r="X48" s="189"/>
      <c r="Y48" s="188"/>
      <c r="Z48" s="189"/>
      <c r="AA48" s="188"/>
      <c r="AB48" s="189"/>
      <c r="AC48" s="199"/>
      <c r="AD48" s="200"/>
      <c r="AE48" s="201"/>
      <c r="AF48" s="188"/>
      <c r="AG48" s="189"/>
      <c r="AH48" s="188"/>
      <c r="AI48" s="189"/>
      <c r="AJ48" s="188"/>
      <c r="AK48" s="189"/>
      <c r="AL48" s="199"/>
      <c r="AM48" s="200"/>
      <c r="AN48" s="201"/>
      <c r="AO48" s="188"/>
      <c r="AP48" s="189"/>
      <c r="AQ48" s="188"/>
      <c r="AR48" s="189"/>
      <c r="AS48" s="188"/>
      <c r="AT48" s="189"/>
      <c r="AU48" s="199"/>
      <c r="AV48" s="200"/>
      <c r="AW48" s="201"/>
      <c r="AX48" s="188"/>
      <c r="AY48" s="189"/>
      <c r="AZ48" s="188"/>
      <c r="BA48" s="189"/>
      <c r="BB48" s="188"/>
      <c r="BC48" s="189"/>
      <c r="BD48" s="199"/>
      <c r="BE48" s="200"/>
      <c r="BF48" s="201"/>
      <c r="BG48" s="188"/>
      <c r="BH48" s="189"/>
      <c r="BI48" s="188"/>
      <c r="BJ48" s="189"/>
      <c r="BK48" s="188"/>
      <c r="BL48" s="189"/>
      <c r="BM48" s="199"/>
      <c r="BN48" s="200"/>
      <c r="BO48" s="201"/>
      <c r="BP48" s="188"/>
      <c r="BQ48" s="189"/>
      <c r="BR48" s="188"/>
      <c r="BS48" s="189"/>
      <c r="BT48" s="188"/>
      <c r="BU48" s="189"/>
      <c r="BV48" s="199"/>
      <c r="BW48" s="200"/>
      <c r="BX48" s="201"/>
      <c r="BY48" s="188"/>
      <c r="BZ48" s="189"/>
      <c r="CA48" s="188"/>
      <c r="CB48" s="189"/>
      <c r="CC48" s="188"/>
      <c r="CD48" s="189"/>
      <c r="CE48" s="199"/>
      <c r="CF48" s="200"/>
      <c r="CG48" s="201"/>
      <c r="CH48" s="188"/>
      <c r="CI48" s="189"/>
      <c r="CJ48" s="188"/>
      <c r="CK48" s="189"/>
      <c r="CL48" s="188"/>
      <c r="CM48" s="189"/>
      <c r="CN48" s="199"/>
      <c r="CO48" s="200"/>
      <c r="CP48" s="201"/>
      <c r="CQ48" s="188"/>
      <c r="CR48" s="189"/>
      <c r="CS48" s="188"/>
      <c r="CT48" s="189"/>
      <c r="CU48" s="188"/>
      <c r="CV48" s="189"/>
      <c r="CW48" s="199"/>
      <c r="CX48" s="200"/>
      <c r="CY48" s="201"/>
      <c r="CZ48" s="188"/>
      <c r="DA48" s="189"/>
      <c r="DB48" s="188"/>
      <c r="DC48" s="189"/>
      <c r="DD48" s="188"/>
      <c r="DE48" s="189"/>
      <c r="DF48" s="199"/>
      <c r="DG48" s="200"/>
      <c r="DH48" s="201"/>
      <c r="DI48" s="188"/>
      <c r="DJ48" s="189"/>
      <c r="DK48" s="189"/>
      <c r="DL48" s="189"/>
    </row>
    <row r="49" ht="15.75" customHeight="1">
      <c r="A49" s="8"/>
      <c r="B49" s="178"/>
      <c r="C49" s="179"/>
      <c r="D49" s="180"/>
      <c r="E49" s="180"/>
      <c r="F49" s="181"/>
      <c r="G49" s="182"/>
      <c r="H49" s="182"/>
      <c r="I49" s="183"/>
      <c r="J49" s="183"/>
      <c r="K49" s="188"/>
      <c r="L49" s="189"/>
      <c r="M49" s="188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8"/>
      <c r="Z49" s="189"/>
      <c r="AA49" s="188"/>
      <c r="AB49" s="189"/>
      <c r="AC49" s="188"/>
      <c r="AD49" s="191"/>
      <c r="AE49" s="189"/>
      <c r="AF49" s="188"/>
      <c r="AG49" s="189"/>
      <c r="AH49" s="188"/>
      <c r="AI49" s="189"/>
      <c r="AJ49" s="188"/>
      <c r="AK49" s="189"/>
      <c r="AL49" s="188"/>
      <c r="AM49" s="191"/>
      <c r="AN49" s="189"/>
      <c r="AO49" s="188"/>
      <c r="AP49" s="189"/>
      <c r="AQ49" s="188"/>
      <c r="AR49" s="189"/>
      <c r="AS49" s="188"/>
      <c r="AT49" s="189"/>
      <c r="AU49" s="188"/>
      <c r="AV49" s="191"/>
      <c r="AW49" s="189"/>
      <c r="AX49" s="188"/>
      <c r="AY49" s="189"/>
      <c r="AZ49" s="188"/>
      <c r="BA49" s="189"/>
      <c r="BB49" s="188"/>
      <c r="BC49" s="189"/>
      <c r="BD49" s="188"/>
      <c r="BE49" s="191"/>
      <c r="BF49" s="189"/>
      <c r="BG49" s="188"/>
      <c r="BH49" s="189"/>
      <c r="BI49" s="188"/>
      <c r="BJ49" s="189"/>
      <c r="BK49" s="188"/>
      <c r="BL49" s="189"/>
      <c r="BM49" s="188"/>
      <c r="BN49" s="191"/>
      <c r="BO49" s="189"/>
      <c r="BP49" s="188"/>
      <c r="BQ49" s="189"/>
      <c r="BR49" s="188"/>
      <c r="BS49" s="189"/>
      <c r="BT49" s="188"/>
      <c r="BU49" s="189"/>
      <c r="BV49" s="188"/>
      <c r="BW49" s="191"/>
      <c r="BX49" s="189"/>
      <c r="BY49" s="188"/>
      <c r="BZ49" s="189"/>
      <c r="CA49" s="188"/>
      <c r="CB49" s="189"/>
      <c r="CC49" s="188"/>
      <c r="CD49" s="189"/>
      <c r="CE49" s="188"/>
      <c r="CF49" s="191"/>
      <c r="CG49" s="189"/>
      <c r="CH49" s="188"/>
      <c r="CI49" s="189"/>
      <c r="CJ49" s="188"/>
      <c r="CK49" s="189"/>
      <c r="CL49" s="188"/>
      <c r="CM49" s="189"/>
      <c r="CN49" s="188"/>
      <c r="CO49" s="191"/>
      <c r="CP49" s="189"/>
      <c r="CQ49" s="188"/>
      <c r="CR49" s="189"/>
      <c r="CS49" s="188"/>
      <c r="CT49" s="189"/>
      <c r="CU49" s="188"/>
      <c r="CV49" s="189"/>
      <c r="CW49" s="188"/>
      <c r="CX49" s="191"/>
      <c r="CY49" s="189"/>
      <c r="CZ49" s="188"/>
      <c r="DA49" s="189"/>
      <c r="DB49" s="188"/>
      <c r="DC49" s="189"/>
      <c r="DD49" s="188"/>
      <c r="DE49" s="189"/>
      <c r="DF49" s="188"/>
      <c r="DG49" s="191"/>
      <c r="DH49" s="189"/>
      <c r="DI49" s="188"/>
      <c r="DJ49" s="189"/>
      <c r="DK49" s="194"/>
      <c r="DL49" s="189"/>
    </row>
    <row r="50" ht="15.75" customHeight="1">
      <c r="B50" s="100" t="s">
        <v>49</v>
      </c>
      <c r="C50" s="37"/>
      <c r="D50" s="37"/>
      <c r="E50" s="37"/>
      <c r="F50" s="37"/>
      <c r="G50" s="37"/>
      <c r="H50" s="37"/>
      <c r="I50" s="38"/>
      <c r="J50" s="185">
        <f>J8</f>
        <v>94371800</v>
      </c>
      <c r="K50" s="185"/>
      <c r="L50" s="185" t="str">
        <f>L8</f>
        <v/>
      </c>
      <c r="M50" s="185"/>
      <c r="N50" s="185"/>
      <c r="O50" s="185" t="str">
        <f>O8</f>
        <v/>
      </c>
      <c r="P50" s="185"/>
      <c r="Q50" s="185" t="str">
        <f>Q8</f>
        <v/>
      </c>
      <c r="R50" s="185"/>
      <c r="S50" s="185" t="str">
        <f>S8</f>
        <v/>
      </c>
      <c r="T50" s="185"/>
      <c r="U50" s="185"/>
      <c r="V50" s="185" t="str">
        <f>V8</f>
        <v/>
      </c>
      <c r="W50" s="185"/>
      <c r="X50" s="185" t="str">
        <f>X8</f>
        <v/>
      </c>
      <c r="Y50" s="185"/>
      <c r="Z50" s="185" t="str">
        <f>Z8</f>
        <v/>
      </c>
      <c r="AA50" s="185"/>
      <c r="AB50" s="185" t="str">
        <f>AB8</f>
        <v/>
      </c>
      <c r="AC50" s="185"/>
      <c r="AD50" s="185"/>
      <c r="AE50" s="185" t="str">
        <f>AE8</f>
        <v/>
      </c>
      <c r="AF50" s="185"/>
      <c r="AG50" s="185" t="str">
        <f>AG8</f>
        <v/>
      </c>
      <c r="AH50" s="185"/>
      <c r="AI50" s="185" t="str">
        <f>AI8</f>
        <v/>
      </c>
      <c r="AJ50" s="185"/>
      <c r="AK50" s="185" t="str">
        <f>AK8</f>
        <v/>
      </c>
      <c r="AL50" s="185"/>
      <c r="AM50" s="185"/>
      <c r="AN50" s="185" t="str">
        <f>AN8</f>
        <v/>
      </c>
      <c r="AO50" s="185"/>
      <c r="AP50" s="185" t="str">
        <f>AP8</f>
        <v/>
      </c>
      <c r="AQ50" s="101"/>
      <c r="AR50" s="185" t="str">
        <f>AR8</f>
        <v/>
      </c>
      <c r="AS50" s="185"/>
      <c r="AT50" s="185" t="str">
        <f>AT8</f>
        <v/>
      </c>
      <c r="AU50" s="101"/>
      <c r="AV50" s="185" t="str">
        <f t="shared" ref="AV50:AW50" si="2">AV8</f>
        <v/>
      </c>
      <c r="AW50" s="185" t="str">
        <f t="shared" si="2"/>
        <v/>
      </c>
      <c r="AX50" s="185"/>
      <c r="AY50" s="185" t="str">
        <f>AY8</f>
        <v/>
      </c>
      <c r="AZ50" s="185"/>
      <c r="BA50" s="185" t="str">
        <f>BA8</f>
        <v/>
      </c>
      <c r="BB50" s="185"/>
      <c r="BC50" s="185" t="str">
        <f>BC8</f>
        <v/>
      </c>
      <c r="BD50" s="185"/>
      <c r="BE50" s="185"/>
      <c r="BF50" s="185" t="str">
        <f>BF8</f>
        <v/>
      </c>
      <c r="BG50" s="185"/>
      <c r="BH50" s="185" t="str">
        <f>BH8</f>
        <v/>
      </c>
      <c r="BI50" s="185"/>
      <c r="BJ50" s="185" t="str">
        <f>BJ8</f>
        <v/>
      </c>
      <c r="BK50" s="185"/>
      <c r="BL50" s="185" t="str">
        <f>BL8</f>
        <v/>
      </c>
      <c r="BM50" s="185"/>
      <c r="BN50" s="185"/>
      <c r="BO50" s="185" t="str">
        <f>BO8</f>
        <v/>
      </c>
      <c r="BP50" s="185"/>
      <c r="BQ50" s="185" t="str">
        <f>BQ8</f>
        <v/>
      </c>
      <c r="BR50" s="185"/>
      <c r="BS50" s="185" t="str">
        <f>BS8</f>
        <v/>
      </c>
      <c r="BT50" s="185"/>
      <c r="BU50" s="185" t="str">
        <f>BU8</f>
        <v/>
      </c>
      <c r="BV50" s="185"/>
      <c r="BW50" s="185"/>
      <c r="BX50" s="185" t="str">
        <f>BX8</f>
        <v/>
      </c>
      <c r="BY50" s="185"/>
      <c r="BZ50" s="185" t="str">
        <f>BZ8</f>
        <v/>
      </c>
      <c r="CA50" s="185"/>
      <c r="CB50" s="185" t="str">
        <f>CB8</f>
        <v/>
      </c>
      <c r="CC50" s="185"/>
      <c r="CD50" s="185" t="str">
        <f>CD8</f>
        <v/>
      </c>
      <c r="CE50" s="185"/>
      <c r="CF50" s="185"/>
      <c r="CG50" s="185" t="str">
        <f>CG8</f>
        <v/>
      </c>
      <c r="CH50" s="185"/>
      <c r="CI50" s="185" t="str">
        <f>CI8</f>
        <v/>
      </c>
      <c r="CJ50" s="185"/>
      <c r="CK50" s="185" t="str">
        <f>CK8</f>
        <v/>
      </c>
      <c r="CL50" s="185"/>
      <c r="CM50" s="185" t="str">
        <f>CM8</f>
        <v/>
      </c>
      <c r="CN50" s="185"/>
      <c r="CO50" s="185"/>
      <c r="CP50" s="185" t="str">
        <f>CP8</f>
        <v/>
      </c>
      <c r="CQ50" s="185"/>
      <c r="CR50" s="185" t="str">
        <f>CR8</f>
        <v/>
      </c>
      <c r="CS50" s="185"/>
      <c r="CT50" s="185" t="str">
        <f>CT8</f>
        <v/>
      </c>
      <c r="CU50" s="185"/>
      <c r="CV50" s="185" t="str">
        <f>CV8</f>
        <v/>
      </c>
      <c r="CW50" s="185"/>
      <c r="CX50" s="185"/>
      <c r="CY50" s="185" t="str">
        <f>CY8</f>
        <v/>
      </c>
      <c r="CZ50" s="185"/>
      <c r="DA50" s="185" t="str">
        <f>DA8</f>
        <v/>
      </c>
      <c r="DB50" s="185"/>
      <c r="DC50" s="185" t="str">
        <f>DC8</f>
        <v/>
      </c>
      <c r="DD50" s="185"/>
      <c r="DE50" s="185" t="str">
        <f>DE8</f>
        <v/>
      </c>
      <c r="DF50" s="185"/>
      <c r="DG50" s="185"/>
      <c r="DH50" s="185" t="str">
        <f>DH8</f>
        <v/>
      </c>
      <c r="DI50" s="185"/>
      <c r="DJ50" s="185" t="str">
        <f>DJ8</f>
        <v/>
      </c>
      <c r="DK50" s="194"/>
      <c r="DL50" s="185" t="str">
        <f>DL8</f>
        <v/>
      </c>
    </row>
    <row r="51" ht="15.75" customHeight="1">
      <c r="K51" s="8"/>
      <c r="L51" s="8"/>
      <c r="O51" s="8"/>
      <c r="Q51" s="8"/>
      <c r="R51" s="8"/>
      <c r="S51" s="8"/>
    </row>
    <row r="52" ht="15.75" customHeight="1">
      <c r="F52" s="92"/>
      <c r="K52" s="8"/>
      <c r="L52" s="8"/>
      <c r="O52" s="8"/>
      <c r="Q52" s="8"/>
      <c r="R52" s="8"/>
      <c r="S52" s="8"/>
      <c r="AT52" s="92"/>
      <c r="BH52" s="175"/>
      <c r="DC52" s="92"/>
    </row>
    <row r="53" ht="15.75" customHeight="1">
      <c r="K53" s="8"/>
      <c r="L53" s="8"/>
      <c r="O53" s="8"/>
      <c r="Q53" s="8"/>
      <c r="R53" s="8"/>
      <c r="S53" s="8"/>
      <c r="BS53" s="92"/>
      <c r="CB53" s="97"/>
    </row>
    <row r="54" ht="15.75" customHeight="1">
      <c r="K54" s="8"/>
      <c r="L54" s="8"/>
      <c r="O54" s="8"/>
      <c r="Q54" s="8"/>
      <c r="R54" s="8"/>
      <c r="S54" s="8"/>
      <c r="DC54" s="92"/>
    </row>
    <row r="55" ht="15.75" customHeight="1">
      <c r="K55" s="8"/>
      <c r="L55" s="8"/>
      <c r="O55" s="8"/>
      <c r="Q55" s="8"/>
      <c r="R55" s="8"/>
      <c r="S55" s="8"/>
      <c r="DE55" s="92"/>
    </row>
    <row r="56" ht="15.75" customHeight="1">
      <c r="K56" s="8"/>
      <c r="L56" s="8"/>
      <c r="O56" s="8"/>
      <c r="Q56" s="8"/>
      <c r="R56" s="8"/>
      <c r="S56" s="8"/>
      <c r="DC56" s="92"/>
    </row>
    <row r="57" ht="15.75" customHeight="1">
      <c r="K57" s="8"/>
      <c r="L57" s="8"/>
      <c r="O57" s="8"/>
      <c r="Q57" s="8"/>
      <c r="R57" s="8"/>
      <c r="S57" s="8"/>
    </row>
    <row r="58" ht="15.75" customHeight="1">
      <c r="K58" s="8"/>
      <c r="L58" s="8"/>
      <c r="O58" s="8"/>
      <c r="Q58" s="8"/>
      <c r="R58" s="8"/>
      <c r="S58" s="8"/>
    </row>
    <row r="59" ht="15.75" customHeight="1">
      <c r="K59" s="8"/>
      <c r="L59" s="8"/>
      <c r="O59" s="8"/>
      <c r="Q59" s="8"/>
      <c r="R59" s="8"/>
      <c r="S59" s="8"/>
    </row>
    <row r="60" ht="15.75" customHeight="1">
      <c r="K60" s="8"/>
      <c r="L60" s="8"/>
      <c r="O60" s="8"/>
      <c r="Q60" s="8"/>
      <c r="R60" s="8"/>
      <c r="S60" s="8"/>
    </row>
    <row r="61" ht="15.75" customHeight="1">
      <c r="K61" s="8"/>
      <c r="L61" s="8"/>
      <c r="O61" s="8"/>
      <c r="Q61" s="8"/>
      <c r="R61" s="8"/>
      <c r="S61" s="8"/>
    </row>
    <row r="62" ht="15.75" customHeight="1">
      <c r="K62" s="8"/>
      <c r="L62" s="8"/>
      <c r="O62" s="8"/>
      <c r="Q62" s="8"/>
      <c r="R62" s="8"/>
      <c r="S62" s="8"/>
    </row>
    <row r="63" ht="15.75" customHeight="1">
      <c r="K63" s="8"/>
      <c r="L63" s="8"/>
      <c r="O63" s="8"/>
      <c r="Q63" s="8"/>
      <c r="R63" s="8"/>
      <c r="S63" s="8"/>
    </row>
    <row r="64" ht="15.75" customHeight="1">
      <c r="K64" s="8"/>
      <c r="L64" s="8"/>
      <c r="O64" s="8"/>
      <c r="Q64" s="8"/>
      <c r="R64" s="8"/>
      <c r="S64" s="8"/>
    </row>
    <row r="65" ht="15.75" customHeight="1">
      <c r="K65" s="8"/>
      <c r="L65" s="8"/>
      <c r="O65" s="8"/>
      <c r="Q65" s="8"/>
      <c r="R65" s="8"/>
      <c r="S65" s="8"/>
    </row>
    <row r="66" ht="15.75" customHeight="1">
      <c r="K66" s="8"/>
      <c r="L66" s="8"/>
      <c r="O66" s="8"/>
      <c r="Q66" s="8"/>
      <c r="R66" s="8"/>
      <c r="S66" s="8"/>
    </row>
    <row r="67" ht="15.75" customHeight="1">
      <c r="K67" s="8"/>
      <c r="L67" s="8"/>
      <c r="O67" s="8"/>
      <c r="Q67" s="8"/>
      <c r="R67" s="8"/>
      <c r="S67" s="8"/>
    </row>
    <row r="68" ht="15.75" customHeight="1">
      <c r="K68" s="8"/>
      <c r="L68" s="8"/>
      <c r="O68" s="8"/>
      <c r="Q68" s="8"/>
      <c r="R68" s="8"/>
      <c r="S68" s="8"/>
    </row>
    <row r="69" ht="15.75" customHeight="1">
      <c r="K69" s="8"/>
      <c r="L69" s="8"/>
      <c r="O69" s="8"/>
      <c r="Q69" s="8"/>
      <c r="R69" s="8"/>
      <c r="S69" s="8"/>
    </row>
    <row r="70" ht="15.75" customHeight="1">
      <c r="K70" s="8"/>
      <c r="L70" s="8"/>
      <c r="O70" s="8"/>
      <c r="Q70" s="8"/>
      <c r="R70" s="8"/>
      <c r="S70" s="8"/>
    </row>
    <row r="71" ht="15.75" customHeight="1">
      <c r="K71" s="8"/>
      <c r="L71" s="8"/>
      <c r="O71" s="8"/>
      <c r="Q71" s="8"/>
      <c r="R71" s="8"/>
      <c r="S71" s="8"/>
    </row>
    <row r="72" ht="15.75" customHeight="1">
      <c r="K72" s="8"/>
      <c r="L72" s="8"/>
      <c r="O72" s="8"/>
      <c r="Q72" s="8"/>
      <c r="R72" s="8"/>
      <c r="S72" s="8"/>
    </row>
    <row r="73" ht="15.75" customHeight="1">
      <c r="K73" s="8"/>
      <c r="L73" s="8"/>
      <c r="O73" s="8"/>
      <c r="Q73" s="8"/>
      <c r="R73" s="8"/>
      <c r="S73" s="8"/>
    </row>
    <row r="74" ht="15.75" customHeight="1">
      <c r="K74" s="8"/>
      <c r="L74" s="8"/>
      <c r="O74" s="8"/>
      <c r="Q74" s="8"/>
      <c r="R74" s="8"/>
      <c r="S74" s="8"/>
    </row>
    <row r="75" ht="15.75" customHeight="1">
      <c r="K75" s="8"/>
      <c r="L75" s="8"/>
      <c r="O75" s="8"/>
      <c r="Q75" s="8"/>
      <c r="R75" s="8"/>
      <c r="S75" s="8"/>
    </row>
    <row r="76" ht="15.75" customHeight="1">
      <c r="K76" s="8"/>
      <c r="L76" s="8"/>
      <c r="O76" s="8"/>
      <c r="Q76" s="8"/>
      <c r="R76" s="8"/>
      <c r="S76" s="8"/>
    </row>
    <row r="77" ht="15.75" customHeight="1">
      <c r="K77" s="8"/>
      <c r="L77" s="8"/>
      <c r="O77" s="8"/>
      <c r="Q77" s="8"/>
      <c r="R77" s="8"/>
      <c r="S77" s="8"/>
    </row>
    <row r="78" ht="15.75" customHeight="1">
      <c r="K78" s="8"/>
      <c r="L78" s="8"/>
      <c r="O78" s="8"/>
      <c r="Q78" s="8"/>
      <c r="R78" s="8"/>
      <c r="S78" s="8"/>
    </row>
    <row r="79" ht="15.75" customHeight="1">
      <c r="K79" s="8"/>
      <c r="L79" s="8"/>
      <c r="O79" s="8"/>
      <c r="Q79" s="8"/>
      <c r="R79" s="8"/>
      <c r="S79" s="8"/>
    </row>
    <row r="80" ht="15.75" customHeight="1">
      <c r="K80" s="8"/>
      <c r="L80" s="8"/>
      <c r="O80" s="8"/>
      <c r="Q80" s="8"/>
      <c r="R80" s="8"/>
      <c r="S80" s="8"/>
    </row>
    <row r="81" ht="15.75" customHeight="1">
      <c r="K81" s="8"/>
      <c r="L81" s="8"/>
      <c r="O81" s="8"/>
      <c r="Q81" s="8"/>
      <c r="R81" s="8"/>
      <c r="S81" s="8"/>
    </row>
    <row r="82" ht="15.75" customHeight="1">
      <c r="K82" s="8"/>
      <c r="L82" s="8"/>
      <c r="O82" s="8"/>
      <c r="Q82" s="8"/>
      <c r="R82" s="8"/>
      <c r="S82" s="8"/>
    </row>
    <row r="83" ht="15.75" customHeight="1">
      <c r="K83" s="8"/>
      <c r="L83" s="8"/>
      <c r="O83" s="8"/>
      <c r="Q83" s="8"/>
      <c r="R83" s="8"/>
      <c r="S83" s="8"/>
    </row>
    <row r="84" ht="15.75" customHeight="1">
      <c r="K84" s="8"/>
      <c r="L84" s="8"/>
      <c r="O84" s="8"/>
      <c r="Q84" s="8"/>
      <c r="R84" s="8"/>
      <c r="S84" s="8"/>
    </row>
    <row r="85" ht="15.75" customHeight="1">
      <c r="K85" s="8"/>
      <c r="L85" s="8"/>
      <c r="O85" s="8"/>
      <c r="Q85" s="8"/>
      <c r="R85" s="8"/>
      <c r="S85" s="8"/>
    </row>
    <row r="86" ht="15.75" customHeight="1">
      <c r="K86" s="8"/>
      <c r="L86" s="8"/>
      <c r="O86" s="8"/>
      <c r="Q86" s="8"/>
      <c r="R86" s="8"/>
      <c r="S86" s="8"/>
    </row>
    <row r="87" ht="15.75" customHeight="1">
      <c r="K87" s="8"/>
      <c r="L87" s="8"/>
      <c r="O87" s="8"/>
      <c r="Q87" s="8"/>
      <c r="R87" s="8"/>
      <c r="S87" s="8"/>
    </row>
    <row r="88" ht="15.75" customHeight="1">
      <c r="K88" s="8"/>
      <c r="L88" s="8"/>
      <c r="O88" s="8"/>
      <c r="Q88" s="8"/>
      <c r="R88" s="8"/>
      <c r="S88" s="8"/>
    </row>
    <row r="89" ht="15.75" customHeight="1">
      <c r="K89" s="8"/>
      <c r="L89" s="8"/>
      <c r="O89" s="8"/>
      <c r="Q89" s="8"/>
      <c r="R89" s="8"/>
      <c r="S89" s="8"/>
    </row>
    <row r="90" ht="15.75" customHeight="1">
      <c r="K90" s="8"/>
      <c r="L90" s="8"/>
      <c r="O90" s="8"/>
      <c r="Q90" s="8"/>
      <c r="R90" s="8"/>
      <c r="S90" s="8"/>
    </row>
    <row r="91" ht="15.75" customHeight="1">
      <c r="K91" s="8"/>
      <c r="L91" s="8"/>
      <c r="O91" s="8"/>
      <c r="Q91" s="8"/>
      <c r="R91" s="8"/>
      <c r="S91" s="8"/>
    </row>
    <row r="92" ht="15.75" customHeight="1">
      <c r="K92" s="8"/>
      <c r="L92" s="8"/>
      <c r="O92" s="8"/>
      <c r="Q92" s="8"/>
      <c r="R92" s="8"/>
      <c r="S92" s="8"/>
    </row>
    <row r="93" ht="15.75" customHeight="1">
      <c r="K93" s="8"/>
      <c r="L93" s="8"/>
      <c r="O93" s="8"/>
      <c r="Q93" s="8"/>
      <c r="R93" s="8"/>
      <c r="S93" s="8"/>
    </row>
    <row r="94" ht="15.75" customHeight="1">
      <c r="K94" s="8"/>
      <c r="L94" s="8"/>
      <c r="O94" s="8"/>
      <c r="Q94" s="8"/>
      <c r="R94" s="8"/>
      <c r="S94" s="8"/>
    </row>
    <row r="95" ht="15.75" customHeight="1">
      <c r="K95" s="8"/>
      <c r="L95" s="8"/>
      <c r="O95" s="8"/>
      <c r="Q95" s="8"/>
      <c r="R95" s="8"/>
      <c r="S95" s="8"/>
    </row>
    <row r="96" ht="15.75" customHeight="1">
      <c r="K96" s="8"/>
      <c r="L96" s="8"/>
      <c r="O96" s="8"/>
      <c r="Q96" s="8"/>
      <c r="R96" s="8"/>
      <c r="S96" s="8"/>
    </row>
    <row r="97" ht="15.75" customHeight="1">
      <c r="K97" s="8"/>
      <c r="L97" s="8"/>
      <c r="O97" s="8"/>
      <c r="Q97" s="8"/>
      <c r="R97" s="8"/>
      <c r="S97" s="8"/>
    </row>
    <row r="98" ht="15.75" customHeight="1">
      <c r="K98" s="8"/>
      <c r="L98" s="8"/>
      <c r="O98" s="8"/>
      <c r="Q98" s="8"/>
      <c r="R98" s="8"/>
      <c r="S98" s="8"/>
    </row>
    <row r="99" ht="15.75" customHeight="1">
      <c r="K99" s="8"/>
      <c r="L99" s="8"/>
      <c r="O99" s="8"/>
      <c r="Q99" s="8"/>
      <c r="R99" s="8"/>
      <c r="S99" s="8"/>
    </row>
    <row r="100" ht="15.75" customHeight="1">
      <c r="K100" s="8"/>
      <c r="L100" s="8"/>
      <c r="O100" s="8"/>
      <c r="Q100" s="8"/>
      <c r="R100" s="8"/>
      <c r="S100" s="8"/>
    </row>
    <row r="101" ht="15.75" customHeight="1">
      <c r="K101" s="8"/>
      <c r="L101" s="8"/>
      <c r="O101" s="8"/>
      <c r="Q101" s="8"/>
      <c r="R101" s="8"/>
      <c r="S101" s="8"/>
    </row>
    <row r="102" ht="15.75" customHeight="1">
      <c r="K102" s="8"/>
      <c r="L102" s="8"/>
      <c r="O102" s="8"/>
      <c r="Q102" s="8"/>
      <c r="R102" s="8"/>
      <c r="S102" s="8"/>
    </row>
    <row r="103" ht="15.75" customHeight="1">
      <c r="K103" s="8"/>
      <c r="L103" s="8"/>
      <c r="O103" s="8"/>
      <c r="Q103" s="8"/>
      <c r="R103" s="8"/>
      <c r="S103" s="8"/>
    </row>
    <row r="104" ht="15.75" customHeight="1">
      <c r="K104" s="8"/>
      <c r="L104" s="8"/>
      <c r="O104" s="8"/>
      <c r="Q104" s="8"/>
      <c r="R104" s="8"/>
      <c r="S104" s="8"/>
    </row>
    <row r="105" ht="15.75" customHeight="1">
      <c r="K105" s="8"/>
      <c r="L105" s="8"/>
      <c r="O105" s="8"/>
      <c r="Q105" s="8"/>
      <c r="R105" s="8"/>
      <c r="S105" s="8"/>
    </row>
    <row r="106" ht="15.75" customHeight="1">
      <c r="K106" s="8"/>
      <c r="L106" s="8"/>
      <c r="O106" s="8"/>
      <c r="Q106" s="8"/>
      <c r="R106" s="8"/>
      <c r="S106" s="8"/>
    </row>
    <row r="107" ht="15.75" customHeight="1">
      <c r="K107" s="8"/>
      <c r="L107" s="8"/>
      <c r="O107" s="8"/>
      <c r="Q107" s="8"/>
      <c r="R107" s="8"/>
      <c r="S107" s="8"/>
    </row>
    <row r="108" ht="15.75" customHeight="1">
      <c r="K108" s="8"/>
      <c r="L108" s="8"/>
      <c r="O108" s="8"/>
      <c r="Q108" s="8"/>
      <c r="R108" s="8"/>
      <c r="S108" s="8"/>
    </row>
    <row r="109" ht="15.75" customHeight="1">
      <c r="K109" s="8"/>
      <c r="L109" s="8"/>
      <c r="O109" s="8"/>
      <c r="Q109" s="8"/>
      <c r="R109" s="8"/>
      <c r="S109" s="8"/>
    </row>
    <row r="110" ht="15.75" customHeight="1">
      <c r="K110" s="8"/>
      <c r="L110" s="8"/>
      <c r="O110" s="8"/>
      <c r="Q110" s="8"/>
      <c r="R110" s="8"/>
      <c r="S110" s="8"/>
    </row>
    <row r="111" ht="15.75" customHeight="1">
      <c r="K111" s="8"/>
      <c r="L111" s="8"/>
      <c r="O111" s="8"/>
      <c r="Q111" s="8"/>
      <c r="R111" s="8"/>
      <c r="S111" s="8"/>
    </row>
    <row r="112" ht="15.75" customHeight="1">
      <c r="K112" s="8"/>
      <c r="L112" s="8"/>
      <c r="O112" s="8"/>
      <c r="Q112" s="8"/>
      <c r="R112" s="8"/>
      <c r="S112" s="8"/>
    </row>
    <row r="113" ht="15.75" customHeight="1">
      <c r="K113" s="8"/>
      <c r="L113" s="8"/>
      <c r="O113" s="8"/>
      <c r="Q113" s="8"/>
      <c r="R113" s="8"/>
      <c r="S113" s="8"/>
    </row>
    <row r="114" ht="15.75" customHeight="1">
      <c r="K114" s="8"/>
      <c r="L114" s="8"/>
      <c r="O114" s="8"/>
      <c r="Q114" s="8"/>
      <c r="R114" s="8"/>
      <c r="S114" s="8"/>
    </row>
    <row r="115" ht="15.75" customHeight="1">
      <c r="K115" s="8"/>
      <c r="L115" s="8"/>
      <c r="O115" s="8"/>
      <c r="Q115" s="8"/>
      <c r="R115" s="8"/>
      <c r="S115" s="8"/>
    </row>
    <row r="116" ht="15.75" customHeight="1">
      <c r="K116" s="8"/>
      <c r="L116" s="8"/>
      <c r="O116" s="8"/>
      <c r="Q116" s="8"/>
      <c r="R116" s="8"/>
      <c r="S116" s="8"/>
    </row>
    <row r="117" ht="15.75" customHeight="1">
      <c r="K117" s="8"/>
      <c r="L117" s="8"/>
      <c r="O117" s="8"/>
      <c r="Q117" s="8"/>
      <c r="R117" s="8"/>
      <c r="S117" s="8"/>
    </row>
    <row r="118" ht="15.75" customHeight="1">
      <c r="K118" s="8"/>
      <c r="L118" s="8"/>
      <c r="O118" s="8"/>
      <c r="Q118" s="8"/>
      <c r="R118" s="8"/>
      <c r="S118" s="8"/>
    </row>
    <row r="119" ht="15.75" customHeight="1">
      <c r="K119" s="8"/>
      <c r="L119" s="8"/>
      <c r="O119" s="8"/>
      <c r="Q119" s="8"/>
      <c r="R119" s="8"/>
      <c r="S119" s="8"/>
    </row>
    <row r="120" ht="15.75" customHeight="1">
      <c r="K120" s="8"/>
      <c r="L120" s="8"/>
      <c r="O120" s="8"/>
      <c r="Q120" s="8"/>
      <c r="R120" s="8"/>
      <c r="S120" s="8"/>
    </row>
    <row r="121" ht="15.75" customHeight="1">
      <c r="K121" s="8"/>
      <c r="L121" s="8"/>
      <c r="O121" s="8"/>
      <c r="Q121" s="8"/>
      <c r="R121" s="8"/>
      <c r="S121" s="8"/>
    </row>
    <row r="122" ht="15.75" customHeight="1">
      <c r="K122" s="8"/>
      <c r="L122" s="8"/>
      <c r="O122" s="8"/>
      <c r="Q122" s="8"/>
      <c r="R122" s="8"/>
      <c r="S122" s="8"/>
    </row>
    <row r="123" ht="15.75" customHeight="1">
      <c r="K123" s="8"/>
      <c r="L123" s="8"/>
      <c r="O123" s="8"/>
      <c r="Q123" s="8"/>
      <c r="R123" s="8"/>
      <c r="S123" s="8"/>
    </row>
    <row r="124" ht="15.75" customHeight="1">
      <c r="K124" s="8"/>
      <c r="L124" s="8"/>
      <c r="O124" s="8"/>
      <c r="Q124" s="8"/>
      <c r="R124" s="8"/>
      <c r="S124" s="8"/>
    </row>
    <row r="125" ht="15.75" customHeight="1">
      <c r="K125" s="8"/>
      <c r="L125" s="8"/>
      <c r="O125" s="8"/>
      <c r="Q125" s="8"/>
      <c r="R125" s="8"/>
      <c r="S125" s="8"/>
    </row>
    <row r="126" ht="15.75" customHeight="1">
      <c r="K126" s="8"/>
      <c r="L126" s="8"/>
      <c r="O126" s="8"/>
      <c r="Q126" s="8"/>
      <c r="R126" s="8"/>
      <c r="S126" s="8"/>
    </row>
    <row r="127" ht="15.75" customHeight="1">
      <c r="K127" s="8"/>
      <c r="L127" s="8"/>
      <c r="O127" s="8"/>
      <c r="Q127" s="8"/>
      <c r="R127" s="8"/>
      <c r="S127" s="8"/>
    </row>
    <row r="128" ht="15.75" customHeight="1">
      <c r="K128" s="8"/>
      <c r="L128" s="8"/>
      <c r="O128" s="8"/>
      <c r="Q128" s="8"/>
      <c r="R128" s="8"/>
      <c r="S128" s="8"/>
    </row>
    <row r="129" ht="15.75" customHeight="1">
      <c r="K129" s="8"/>
      <c r="L129" s="8"/>
      <c r="O129" s="8"/>
      <c r="Q129" s="8"/>
      <c r="R129" s="8"/>
      <c r="S129" s="8"/>
    </row>
    <row r="130" ht="15.75" customHeight="1">
      <c r="K130" s="8"/>
      <c r="L130" s="8"/>
      <c r="O130" s="8"/>
      <c r="Q130" s="8"/>
      <c r="R130" s="8"/>
      <c r="S130" s="8"/>
    </row>
    <row r="131" ht="15.75" customHeight="1">
      <c r="K131" s="8"/>
      <c r="L131" s="8"/>
      <c r="O131" s="8"/>
      <c r="Q131" s="8"/>
      <c r="R131" s="8"/>
      <c r="S131" s="8"/>
    </row>
    <row r="132" ht="15.75" customHeight="1">
      <c r="K132" s="8"/>
      <c r="L132" s="8"/>
      <c r="O132" s="8"/>
      <c r="Q132" s="8"/>
      <c r="R132" s="8"/>
      <c r="S132" s="8"/>
    </row>
    <row r="133" ht="15.75" customHeight="1">
      <c r="K133" s="8"/>
      <c r="L133" s="8"/>
      <c r="O133" s="8"/>
      <c r="Q133" s="8"/>
      <c r="R133" s="8"/>
      <c r="S133" s="8"/>
    </row>
    <row r="134" ht="15.75" customHeight="1">
      <c r="K134" s="8"/>
      <c r="L134" s="8"/>
      <c r="O134" s="8"/>
      <c r="Q134" s="8"/>
      <c r="R134" s="8"/>
      <c r="S134" s="8"/>
    </row>
    <row r="135" ht="15.75" customHeight="1">
      <c r="K135" s="8"/>
      <c r="L135" s="8"/>
      <c r="O135" s="8"/>
      <c r="Q135" s="8"/>
      <c r="R135" s="8"/>
      <c r="S135" s="8"/>
    </row>
    <row r="136" ht="15.75" customHeight="1">
      <c r="K136" s="8"/>
      <c r="L136" s="8"/>
      <c r="O136" s="8"/>
      <c r="Q136" s="8"/>
      <c r="R136" s="8"/>
      <c r="S136" s="8"/>
    </row>
    <row r="137" ht="15.75" customHeight="1">
      <c r="K137" s="8"/>
      <c r="L137" s="8"/>
      <c r="O137" s="8"/>
      <c r="Q137" s="8"/>
      <c r="R137" s="8"/>
      <c r="S137" s="8"/>
    </row>
    <row r="138" ht="15.75" customHeight="1">
      <c r="K138" s="8"/>
      <c r="L138" s="8"/>
      <c r="O138" s="8"/>
      <c r="Q138" s="8"/>
      <c r="R138" s="8"/>
      <c r="S138" s="8"/>
    </row>
    <row r="139" ht="15.75" customHeight="1">
      <c r="K139" s="8"/>
      <c r="L139" s="8"/>
      <c r="O139" s="8"/>
      <c r="Q139" s="8"/>
      <c r="R139" s="8"/>
      <c r="S139" s="8"/>
    </row>
    <row r="140" ht="15.75" customHeight="1">
      <c r="K140" s="8"/>
      <c r="L140" s="8"/>
      <c r="O140" s="8"/>
      <c r="Q140" s="8"/>
      <c r="R140" s="8"/>
      <c r="S140" s="8"/>
    </row>
    <row r="141" ht="15.75" customHeight="1">
      <c r="K141" s="8"/>
      <c r="L141" s="8"/>
      <c r="O141" s="8"/>
      <c r="Q141" s="8"/>
      <c r="R141" s="8"/>
      <c r="S141" s="8"/>
    </row>
    <row r="142" ht="15.75" customHeight="1">
      <c r="K142" s="8"/>
      <c r="L142" s="8"/>
      <c r="O142" s="8"/>
      <c r="Q142" s="8"/>
      <c r="R142" s="8"/>
      <c r="S142" s="8"/>
    </row>
    <row r="143" ht="15.75" customHeight="1">
      <c r="K143" s="8"/>
      <c r="L143" s="8"/>
      <c r="O143" s="8"/>
      <c r="Q143" s="8"/>
      <c r="R143" s="8"/>
      <c r="S143" s="8"/>
    </row>
    <row r="144" ht="15.75" customHeight="1">
      <c r="K144" s="8"/>
      <c r="L144" s="8"/>
      <c r="O144" s="8"/>
      <c r="Q144" s="8"/>
      <c r="R144" s="8"/>
      <c r="S144" s="8"/>
    </row>
    <row r="145" ht="15.75" customHeight="1">
      <c r="K145" s="8"/>
      <c r="L145" s="8"/>
      <c r="O145" s="8"/>
      <c r="Q145" s="8"/>
      <c r="R145" s="8"/>
      <c r="S145" s="8"/>
    </row>
    <row r="146" ht="15.75" customHeight="1">
      <c r="K146" s="8"/>
      <c r="L146" s="8"/>
      <c r="O146" s="8"/>
      <c r="Q146" s="8"/>
      <c r="R146" s="8"/>
      <c r="S146" s="8"/>
    </row>
    <row r="147" ht="15.75" customHeight="1">
      <c r="K147" s="8"/>
      <c r="L147" s="8"/>
      <c r="O147" s="8"/>
      <c r="Q147" s="8"/>
      <c r="R147" s="8"/>
      <c r="S147" s="8"/>
    </row>
    <row r="148" ht="15.75" customHeight="1">
      <c r="K148" s="8"/>
      <c r="L148" s="8"/>
      <c r="O148" s="8"/>
      <c r="Q148" s="8"/>
      <c r="R148" s="8"/>
      <c r="S148" s="8"/>
    </row>
    <row r="149" ht="15.75" customHeight="1">
      <c r="K149" s="8"/>
      <c r="L149" s="8"/>
      <c r="O149" s="8"/>
      <c r="Q149" s="8"/>
      <c r="R149" s="8"/>
      <c r="S149" s="8"/>
    </row>
    <row r="150" ht="15.75" customHeight="1">
      <c r="K150" s="8"/>
      <c r="L150" s="8"/>
      <c r="O150" s="8"/>
      <c r="Q150" s="8"/>
      <c r="R150" s="8"/>
      <c r="S150" s="8"/>
    </row>
    <row r="151" ht="15.75" customHeight="1">
      <c r="K151" s="8"/>
      <c r="L151" s="8"/>
      <c r="O151" s="8"/>
      <c r="Q151" s="8"/>
      <c r="R151" s="8"/>
      <c r="S151" s="8"/>
    </row>
    <row r="152" ht="15.75" customHeight="1">
      <c r="K152" s="8"/>
      <c r="L152" s="8"/>
      <c r="O152" s="8"/>
      <c r="Q152" s="8"/>
      <c r="R152" s="8"/>
      <c r="S152" s="8"/>
    </row>
    <row r="153" ht="15.75" customHeight="1">
      <c r="K153" s="8"/>
      <c r="L153" s="8"/>
      <c r="O153" s="8"/>
      <c r="Q153" s="8"/>
      <c r="R153" s="8"/>
      <c r="S153" s="8"/>
    </row>
    <row r="154" ht="15.75" customHeight="1">
      <c r="K154" s="8"/>
      <c r="L154" s="8"/>
      <c r="O154" s="8"/>
      <c r="Q154" s="8"/>
      <c r="R154" s="8"/>
      <c r="S154" s="8"/>
    </row>
    <row r="155" ht="15.75" customHeight="1">
      <c r="K155" s="8"/>
      <c r="L155" s="8"/>
      <c r="O155" s="8"/>
      <c r="Q155" s="8"/>
      <c r="R155" s="8"/>
      <c r="S155" s="8"/>
    </row>
    <row r="156" ht="15.75" customHeight="1">
      <c r="K156" s="8"/>
      <c r="L156" s="8"/>
      <c r="O156" s="8"/>
      <c r="Q156" s="8"/>
      <c r="R156" s="8"/>
      <c r="S156" s="8"/>
    </row>
    <row r="157" ht="15.75" customHeight="1">
      <c r="K157" s="8"/>
      <c r="L157" s="8"/>
      <c r="O157" s="8"/>
      <c r="Q157" s="8"/>
      <c r="R157" s="8"/>
      <c r="S157" s="8"/>
    </row>
    <row r="158" ht="15.75" customHeight="1">
      <c r="K158" s="8"/>
      <c r="L158" s="8"/>
      <c r="O158" s="8"/>
      <c r="Q158" s="8"/>
      <c r="R158" s="8"/>
      <c r="S158" s="8"/>
    </row>
    <row r="159" ht="15.75" customHeight="1">
      <c r="K159" s="8"/>
      <c r="L159" s="8"/>
      <c r="O159" s="8"/>
      <c r="Q159" s="8"/>
      <c r="R159" s="8"/>
      <c r="S159" s="8"/>
    </row>
    <row r="160" ht="15.75" customHeight="1">
      <c r="K160" s="8"/>
      <c r="L160" s="8"/>
      <c r="O160" s="8"/>
      <c r="Q160" s="8"/>
      <c r="R160" s="8"/>
      <c r="S160" s="8"/>
    </row>
    <row r="161" ht="15.75" customHeight="1">
      <c r="K161" s="8"/>
      <c r="L161" s="8"/>
      <c r="O161" s="8"/>
      <c r="Q161" s="8"/>
      <c r="R161" s="8"/>
      <c r="S161" s="8"/>
    </row>
    <row r="162" ht="15.75" customHeight="1">
      <c r="K162" s="8"/>
      <c r="L162" s="8"/>
      <c r="O162" s="8"/>
      <c r="Q162" s="8"/>
      <c r="R162" s="8"/>
      <c r="S162" s="8"/>
    </row>
    <row r="163" ht="15.75" customHeight="1">
      <c r="K163" s="8"/>
      <c r="L163" s="8"/>
      <c r="O163" s="8"/>
      <c r="Q163" s="8"/>
      <c r="R163" s="8"/>
      <c r="S163" s="8"/>
    </row>
    <row r="164" ht="15.75" customHeight="1">
      <c r="K164" s="8"/>
      <c r="L164" s="8"/>
      <c r="O164" s="8"/>
      <c r="Q164" s="8"/>
      <c r="R164" s="8"/>
      <c r="S164" s="8"/>
    </row>
    <row r="165" ht="15.75" customHeight="1">
      <c r="K165" s="8"/>
      <c r="L165" s="8"/>
      <c r="O165" s="8"/>
      <c r="Q165" s="8"/>
      <c r="R165" s="8"/>
      <c r="S165" s="8"/>
    </row>
    <row r="166" ht="15.75" customHeight="1">
      <c r="K166" s="8"/>
      <c r="L166" s="8"/>
      <c r="O166" s="8"/>
      <c r="Q166" s="8"/>
      <c r="R166" s="8"/>
      <c r="S166" s="8"/>
    </row>
    <row r="167" ht="15.75" customHeight="1">
      <c r="K167" s="8"/>
      <c r="L167" s="8"/>
      <c r="O167" s="8"/>
      <c r="Q167" s="8"/>
      <c r="R167" s="8"/>
      <c r="S167" s="8"/>
    </row>
    <row r="168" ht="15.75" customHeight="1">
      <c r="K168" s="8"/>
      <c r="L168" s="8"/>
      <c r="O168" s="8"/>
      <c r="Q168" s="8"/>
      <c r="R168" s="8"/>
      <c r="S168" s="8"/>
    </row>
    <row r="169" ht="15.75" customHeight="1">
      <c r="K169" s="8"/>
      <c r="L169" s="8"/>
      <c r="O169" s="8"/>
      <c r="Q169" s="8"/>
      <c r="R169" s="8"/>
      <c r="S169" s="8"/>
    </row>
    <row r="170" ht="15.75" customHeight="1">
      <c r="K170" s="8"/>
      <c r="L170" s="8"/>
      <c r="O170" s="8"/>
      <c r="Q170" s="8"/>
      <c r="R170" s="8"/>
      <c r="S170" s="8"/>
    </row>
    <row r="171" ht="15.75" customHeight="1">
      <c r="K171" s="8"/>
      <c r="L171" s="8"/>
      <c r="O171" s="8"/>
      <c r="Q171" s="8"/>
      <c r="R171" s="8"/>
      <c r="S171" s="8"/>
    </row>
    <row r="172" ht="15.75" customHeight="1">
      <c r="K172" s="8"/>
      <c r="L172" s="8"/>
      <c r="O172" s="8"/>
      <c r="Q172" s="8"/>
      <c r="R172" s="8"/>
      <c r="S172" s="8"/>
    </row>
    <row r="173" ht="15.75" customHeight="1">
      <c r="K173" s="8"/>
      <c r="L173" s="8"/>
      <c r="O173" s="8"/>
      <c r="Q173" s="8"/>
      <c r="R173" s="8"/>
      <c r="S173" s="8"/>
    </row>
    <row r="174" ht="15.75" customHeight="1">
      <c r="K174" s="8"/>
      <c r="L174" s="8"/>
      <c r="O174" s="8"/>
      <c r="Q174" s="8"/>
      <c r="R174" s="8"/>
      <c r="S174" s="8"/>
    </row>
    <row r="175" ht="15.75" customHeight="1">
      <c r="K175" s="8"/>
      <c r="L175" s="8"/>
      <c r="O175" s="8"/>
      <c r="Q175" s="8"/>
      <c r="R175" s="8"/>
      <c r="S175" s="8"/>
    </row>
    <row r="176" ht="15.75" customHeight="1">
      <c r="K176" s="8"/>
      <c r="L176" s="8"/>
      <c r="O176" s="8"/>
      <c r="Q176" s="8"/>
      <c r="R176" s="8"/>
      <c r="S176" s="8"/>
    </row>
    <row r="177" ht="15.75" customHeight="1">
      <c r="K177" s="8"/>
      <c r="L177" s="8"/>
      <c r="O177" s="8"/>
      <c r="Q177" s="8"/>
      <c r="R177" s="8"/>
      <c r="S177" s="8"/>
    </row>
    <row r="178" ht="15.75" customHeight="1">
      <c r="K178" s="8"/>
      <c r="L178" s="8"/>
      <c r="O178" s="8"/>
      <c r="Q178" s="8"/>
      <c r="R178" s="8"/>
      <c r="S178" s="8"/>
    </row>
    <row r="179" ht="15.75" customHeight="1">
      <c r="K179" s="8"/>
      <c r="L179" s="8"/>
      <c r="O179" s="8"/>
      <c r="Q179" s="8"/>
      <c r="R179" s="8"/>
      <c r="S179" s="8"/>
    </row>
    <row r="180" ht="15.75" customHeight="1">
      <c r="K180" s="8"/>
      <c r="L180" s="8"/>
      <c r="O180" s="8"/>
      <c r="Q180" s="8"/>
      <c r="R180" s="8"/>
      <c r="S180" s="8"/>
    </row>
    <row r="181" ht="15.75" customHeight="1">
      <c r="K181" s="8"/>
      <c r="L181" s="8"/>
      <c r="O181" s="8"/>
      <c r="Q181" s="8"/>
      <c r="R181" s="8"/>
      <c r="S181" s="8"/>
    </row>
    <row r="182" ht="15.75" customHeight="1">
      <c r="K182" s="8"/>
      <c r="L182" s="8"/>
      <c r="O182" s="8"/>
      <c r="Q182" s="8"/>
      <c r="R182" s="8"/>
      <c r="S182" s="8"/>
    </row>
    <row r="183" ht="15.75" customHeight="1">
      <c r="K183" s="8"/>
      <c r="L183" s="8"/>
      <c r="O183" s="8"/>
      <c r="Q183" s="8"/>
      <c r="R183" s="8"/>
      <c r="S183" s="8"/>
    </row>
    <row r="184" ht="15.75" customHeight="1">
      <c r="K184" s="8"/>
      <c r="L184" s="8"/>
      <c r="O184" s="8"/>
      <c r="Q184" s="8"/>
      <c r="R184" s="8"/>
      <c r="S184" s="8"/>
    </row>
    <row r="185" ht="15.75" customHeight="1">
      <c r="K185" s="8"/>
      <c r="L185" s="8"/>
      <c r="O185" s="8"/>
      <c r="Q185" s="8"/>
      <c r="R185" s="8"/>
      <c r="S185" s="8"/>
    </row>
    <row r="186" ht="15.75" customHeight="1">
      <c r="K186" s="8"/>
      <c r="L186" s="8"/>
      <c r="O186" s="8"/>
      <c r="Q186" s="8"/>
      <c r="R186" s="8"/>
      <c r="S186" s="8"/>
    </row>
    <row r="187" ht="15.75" customHeight="1">
      <c r="K187" s="8"/>
      <c r="L187" s="8"/>
      <c r="O187" s="8"/>
      <c r="Q187" s="8"/>
      <c r="R187" s="8"/>
      <c r="S187" s="8"/>
    </row>
    <row r="188" ht="15.75" customHeight="1">
      <c r="K188" s="8"/>
      <c r="L188" s="8"/>
      <c r="O188" s="8"/>
      <c r="Q188" s="8"/>
      <c r="R188" s="8"/>
      <c r="S188" s="8"/>
    </row>
    <row r="189" ht="15.75" customHeight="1">
      <c r="K189" s="8"/>
      <c r="L189" s="8"/>
      <c r="O189" s="8"/>
      <c r="Q189" s="8"/>
      <c r="R189" s="8"/>
      <c r="S189" s="8"/>
    </row>
    <row r="190" ht="15.75" customHeight="1">
      <c r="K190" s="8"/>
      <c r="L190" s="8"/>
      <c r="O190" s="8"/>
      <c r="Q190" s="8"/>
      <c r="R190" s="8"/>
      <c r="S190" s="8"/>
    </row>
    <row r="191" ht="15.75" customHeight="1">
      <c r="K191" s="8"/>
      <c r="L191" s="8"/>
      <c r="O191" s="8"/>
      <c r="Q191" s="8"/>
      <c r="R191" s="8"/>
      <c r="S191" s="8"/>
    </row>
    <row r="192" ht="15.75" customHeight="1">
      <c r="K192" s="8"/>
      <c r="L192" s="8"/>
      <c r="O192" s="8"/>
      <c r="Q192" s="8"/>
      <c r="R192" s="8"/>
      <c r="S192" s="8"/>
    </row>
    <row r="193" ht="15.75" customHeight="1">
      <c r="K193" s="8"/>
      <c r="L193" s="8"/>
      <c r="O193" s="8"/>
      <c r="Q193" s="8"/>
      <c r="R193" s="8"/>
      <c r="S193" s="8"/>
    </row>
    <row r="194" ht="15.75" customHeight="1">
      <c r="K194" s="8"/>
      <c r="L194" s="8"/>
      <c r="O194" s="8"/>
      <c r="Q194" s="8"/>
      <c r="R194" s="8"/>
      <c r="S194" s="8"/>
    </row>
    <row r="195" ht="15.75" customHeight="1">
      <c r="K195" s="8"/>
      <c r="L195" s="8"/>
      <c r="O195" s="8"/>
      <c r="Q195" s="8"/>
      <c r="R195" s="8"/>
      <c r="S195" s="8"/>
    </row>
    <row r="196" ht="15.75" customHeight="1">
      <c r="K196" s="8"/>
      <c r="L196" s="8"/>
      <c r="O196" s="8"/>
      <c r="Q196" s="8"/>
      <c r="R196" s="8"/>
      <c r="S196" s="8"/>
    </row>
    <row r="197" ht="15.75" customHeight="1">
      <c r="K197" s="8"/>
      <c r="L197" s="8"/>
      <c r="O197" s="8"/>
      <c r="Q197" s="8"/>
      <c r="R197" s="8"/>
      <c r="S197" s="8"/>
    </row>
    <row r="198" ht="15.75" customHeight="1">
      <c r="K198" s="8"/>
      <c r="L198" s="8"/>
      <c r="O198" s="8"/>
      <c r="Q198" s="8"/>
      <c r="R198" s="8"/>
      <c r="S198" s="8"/>
    </row>
    <row r="199" ht="15.75" customHeight="1">
      <c r="K199" s="8"/>
      <c r="L199" s="8"/>
      <c r="O199" s="8"/>
      <c r="Q199" s="8"/>
      <c r="R199" s="8"/>
      <c r="S199" s="8"/>
    </row>
    <row r="200" ht="15.75" customHeight="1">
      <c r="K200" s="8"/>
      <c r="L200" s="8"/>
      <c r="O200" s="8"/>
      <c r="Q200" s="8"/>
      <c r="R200" s="8"/>
      <c r="S200" s="8"/>
    </row>
    <row r="201" ht="15.75" customHeight="1">
      <c r="K201" s="8"/>
      <c r="L201" s="8"/>
      <c r="O201" s="8"/>
      <c r="Q201" s="8"/>
      <c r="R201" s="8"/>
      <c r="S201" s="8"/>
    </row>
    <row r="202" ht="15.75" customHeight="1">
      <c r="K202" s="8"/>
      <c r="L202" s="8"/>
      <c r="O202" s="8"/>
      <c r="Q202" s="8"/>
      <c r="R202" s="8"/>
      <c r="S202" s="8"/>
    </row>
    <row r="203" ht="15.75" customHeight="1">
      <c r="K203" s="8"/>
      <c r="L203" s="8"/>
      <c r="O203" s="8"/>
      <c r="Q203" s="8"/>
      <c r="R203" s="8"/>
      <c r="S203" s="8"/>
    </row>
    <row r="204" ht="15.75" customHeight="1">
      <c r="K204" s="8"/>
      <c r="L204" s="8"/>
      <c r="O204" s="8"/>
      <c r="Q204" s="8"/>
      <c r="R204" s="8"/>
      <c r="S204" s="8"/>
    </row>
    <row r="205" ht="15.75" customHeight="1">
      <c r="K205" s="8"/>
      <c r="L205" s="8"/>
      <c r="O205" s="8"/>
      <c r="Q205" s="8"/>
      <c r="R205" s="8"/>
      <c r="S205" s="8"/>
    </row>
    <row r="206" ht="15.75" customHeight="1">
      <c r="K206" s="8"/>
      <c r="L206" s="8"/>
      <c r="O206" s="8"/>
      <c r="Q206" s="8"/>
      <c r="R206" s="8"/>
      <c r="S206" s="8"/>
    </row>
    <row r="207" ht="15.75" customHeight="1">
      <c r="K207" s="8"/>
      <c r="L207" s="8"/>
      <c r="O207" s="8"/>
      <c r="Q207" s="8"/>
      <c r="R207" s="8"/>
      <c r="S207" s="8"/>
    </row>
    <row r="208" ht="15.75" customHeight="1">
      <c r="K208" s="8"/>
      <c r="L208" s="8"/>
      <c r="O208" s="8"/>
      <c r="Q208" s="8"/>
      <c r="R208" s="8"/>
      <c r="S208" s="8"/>
    </row>
    <row r="209" ht="15.75" customHeight="1">
      <c r="K209" s="8"/>
      <c r="L209" s="8"/>
      <c r="O209" s="8"/>
      <c r="Q209" s="8"/>
      <c r="R209" s="8"/>
      <c r="S209" s="8"/>
    </row>
    <row r="210" ht="15.75" customHeight="1">
      <c r="K210" s="8"/>
      <c r="L210" s="8"/>
      <c r="O210" s="8"/>
      <c r="Q210" s="8"/>
      <c r="R210" s="8"/>
      <c r="S210" s="8"/>
    </row>
    <row r="211" ht="15.75" customHeight="1">
      <c r="K211" s="8"/>
      <c r="L211" s="8"/>
      <c r="O211" s="8"/>
      <c r="Q211" s="8"/>
      <c r="R211" s="8"/>
      <c r="S211" s="8"/>
    </row>
    <row r="212" ht="15.75" customHeight="1">
      <c r="K212" s="8"/>
      <c r="L212" s="8"/>
      <c r="O212" s="8"/>
      <c r="Q212" s="8"/>
      <c r="R212" s="8"/>
      <c r="S212" s="8"/>
    </row>
    <row r="213" ht="15.75" customHeight="1">
      <c r="K213" s="8"/>
      <c r="L213" s="8"/>
      <c r="O213" s="8"/>
      <c r="Q213" s="8"/>
      <c r="R213" s="8"/>
      <c r="S213" s="8"/>
    </row>
    <row r="214" ht="15.75" customHeight="1">
      <c r="K214" s="8"/>
      <c r="L214" s="8"/>
      <c r="O214" s="8"/>
      <c r="Q214" s="8"/>
      <c r="R214" s="8"/>
      <c r="S214" s="8"/>
    </row>
    <row r="215" ht="15.75" customHeight="1">
      <c r="K215" s="8"/>
      <c r="L215" s="8"/>
      <c r="O215" s="8"/>
      <c r="Q215" s="8"/>
      <c r="R215" s="8"/>
      <c r="S215" s="8"/>
    </row>
    <row r="216" ht="15.75" customHeight="1">
      <c r="K216" s="8"/>
      <c r="L216" s="8"/>
      <c r="O216" s="8"/>
      <c r="Q216" s="8"/>
      <c r="R216" s="8"/>
      <c r="S216" s="8"/>
    </row>
    <row r="217" ht="15.75" customHeight="1">
      <c r="K217" s="8"/>
      <c r="L217" s="8"/>
      <c r="O217" s="8"/>
      <c r="Q217" s="8"/>
      <c r="R217" s="8"/>
      <c r="S217" s="8"/>
    </row>
    <row r="218" ht="15.75" customHeight="1">
      <c r="K218" s="8"/>
      <c r="L218" s="8"/>
      <c r="O218" s="8"/>
      <c r="Q218" s="8"/>
      <c r="R218" s="8"/>
      <c r="S218" s="8"/>
    </row>
    <row r="219" ht="15.75" customHeight="1">
      <c r="K219" s="8"/>
      <c r="L219" s="8"/>
      <c r="O219" s="8"/>
      <c r="Q219" s="8"/>
      <c r="R219" s="8"/>
      <c r="S219" s="8"/>
    </row>
    <row r="220" ht="15.75" customHeight="1">
      <c r="K220" s="8"/>
      <c r="L220" s="8"/>
      <c r="O220" s="8"/>
      <c r="Q220" s="8"/>
      <c r="R220" s="8"/>
      <c r="S220" s="8"/>
    </row>
    <row r="221" ht="15.75" customHeight="1">
      <c r="K221" s="8"/>
      <c r="L221" s="8"/>
      <c r="O221" s="8"/>
      <c r="Q221" s="8"/>
      <c r="R221" s="8"/>
      <c r="S221" s="8"/>
    </row>
    <row r="222" ht="15.75" customHeight="1">
      <c r="K222" s="8"/>
      <c r="L222" s="8"/>
      <c r="O222" s="8"/>
      <c r="Q222" s="8"/>
      <c r="R222" s="8"/>
      <c r="S222" s="8"/>
    </row>
    <row r="223" ht="15.75" customHeight="1">
      <c r="K223" s="8"/>
      <c r="L223" s="8"/>
      <c r="O223" s="8"/>
      <c r="Q223" s="8"/>
      <c r="R223" s="8"/>
      <c r="S223" s="8"/>
    </row>
    <row r="224" ht="15.75" customHeight="1">
      <c r="K224" s="8"/>
      <c r="L224" s="8"/>
      <c r="O224" s="8"/>
      <c r="Q224" s="8"/>
      <c r="R224" s="8"/>
      <c r="S224" s="8"/>
    </row>
    <row r="225" ht="15.75" customHeight="1">
      <c r="K225" s="8"/>
      <c r="L225" s="8"/>
      <c r="O225" s="8"/>
      <c r="Q225" s="8"/>
      <c r="R225" s="8"/>
      <c r="S225" s="8"/>
    </row>
    <row r="226" ht="15.75" customHeight="1">
      <c r="K226" s="8"/>
      <c r="L226" s="8"/>
      <c r="O226" s="8"/>
      <c r="Q226" s="8"/>
      <c r="R226" s="8"/>
      <c r="S226" s="8"/>
    </row>
    <row r="227" ht="15.75" customHeight="1">
      <c r="K227" s="8"/>
      <c r="L227" s="8"/>
      <c r="O227" s="8"/>
      <c r="Q227" s="8"/>
      <c r="R227" s="8"/>
      <c r="S227" s="8"/>
    </row>
    <row r="228" ht="15.75" customHeight="1">
      <c r="K228" s="8"/>
      <c r="L228" s="8"/>
      <c r="O228" s="8"/>
      <c r="Q228" s="8"/>
      <c r="R228" s="8"/>
      <c r="S228" s="8"/>
    </row>
    <row r="229" ht="15.75" customHeight="1">
      <c r="K229" s="8"/>
      <c r="L229" s="8"/>
      <c r="O229" s="8"/>
      <c r="Q229" s="8"/>
      <c r="R229" s="8"/>
      <c r="S229" s="8"/>
    </row>
    <row r="230" ht="15.75" customHeight="1">
      <c r="K230" s="8"/>
      <c r="L230" s="8"/>
      <c r="O230" s="8"/>
      <c r="Q230" s="8"/>
      <c r="R230" s="8"/>
      <c r="S230" s="8"/>
    </row>
    <row r="231" ht="15.75" customHeight="1">
      <c r="K231" s="8"/>
      <c r="L231" s="8"/>
      <c r="O231" s="8"/>
      <c r="Q231" s="8"/>
      <c r="R231" s="8"/>
      <c r="S231" s="8"/>
    </row>
    <row r="232" ht="15.75" customHeight="1">
      <c r="K232" s="8"/>
      <c r="L232" s="8"/>
      <c r="O232" s="8"/>
      <c r="Q232" s="8"/>
      <c r="R232" s="8"/>
      <c r="S232" s="8"/>
    </row>
    <row r="233" ht="15.75" customHeight="1">
      <c r="K233" s="8"/>
      <c r="L233" s="8"/>
      <c r="O233" s="8"/>
      <c r="Q233" s="8"/>
      <c r="R233" s="8"/>
      <c r="S233" s="8"/>
    </row>
    <row r="234" ht="15.75" customHeight="1">
      <c r="K234" s="8"/>
      <c r="L234" s="8"/>
      <c r="O234" s="8"/>
      <c r="Q234" s="8"/>
      <c r="R234" s="8"/>
      <c r="S234" s="8"/>
    </row>
    <row r="235" ht="15.75" customHeight="1">
      <c r="K235" s="8"/>
      <c r="L235" s="8"/>
      <c r="O235" s="8"/>
      <c r="Q235" s="8"/>
      <c r="R235" s="8"/>
      <c r="S235" s="8"/>
    </row>
    <row r="236" ht="15.75" customHeight="1">
      <c r="K236" s="8"/>
      <c r="L236" s="8"/>
      <c r="O236" s="8"/>
      <c r="Q236" s="8"/>
      <c r="R236" s="8"/>
      <c r="S236" s="8"/>
    </row>
    <row r="237" ht="15.75" customHeight="1">
      <c r="K237" s="8"/>
      <c r="L237" s="8"/>
      <c r="O237" s="8"/>
      <c r="Q237" s="8"/>
      <c r="R237" s="8"/>
      <c r="S237" s="8"/>
    </row>
    <row r="238" ht="15.75" customHeight="1">
      <c r="K238" s="8"/>
      <c r="L238" s="8"/>
      <c r="O238" s="8"/>
      <c r="Q238" s="8"/>
      <c r="R238" s="8"/>
      <c r="S238" s="8"/>
    </row>
    <row r="239" ht="15.75" customHeight="1">
      <c r="K239" s="8"/>
      <c r="L239" s="8"/>
      <c r="O239" s="8"/>
      <c r="Q239" s="8"/>
      <c r="R239" s="8"/>
      <c r="S239" s="8"/>
    </row>
    <row r="240" ht="15.75" customHeight="1">
      <c r="K240" s="8"/>
      <c r="L240" s="8"/>
      <c r="O240" s="8"/>
      <c r="Q240" s="8"/>
      <c r="R240" s="8"/>
      <c r="S240" s="8"/>
    </row>
    <row r="241" ht="15.75" customHeight="1">
      <c r="K241" s="8"/>
      <c r="L241" s="8"/>
      <c r="O241" s="8"/>
      <c r="Q241" s="8"/>
      <c r="R241" s="8"/>
      <c r="S241" s="8"/>
    </row>
    <row r="242" ht="15.75" customHeight="1">
      <c r="K242" s="8"/>
      <c r="L242" s="8"/>
      <c r="O242" s="8"/>
      <c r="Q242" s="8"/>
      <c r="R242" s="8"/>
      <c r="S242" s="8"/>
    </row>
    <row r="243" ht="15.75" customHeight="1">
      <c r="K243" s="8"/>
      <c r="L243" s="8"/>
      <c r="O243" s="8"/>
      <c r="Q243" s="8"/>
      <c r="R243" s="8"/>
      <c r="S243" s="8"/>
    </row>
    <row r="244" ht="15.75" customHeight="1">
      <c r="K244" s="8"/>
      <c r="L244" s="8"/>
      <c r="O244" s="8"/>
      <c r="Q244" s="8"/>
      <c r="R244" s="8"/>
      <c r="S244" s="8"/>
    </row>
    <row r="245" ht="15.75" customHeight="1">
      <c r="K245" s="8"/>
      <c r="L245" s="8"/>
      <c r="O245" s="8"/>
      <c r="Q245" s="8"/>
      <c r="R245" s="8"/>
      <c r="S245" s="8"/>
    </row>
    <row r="246" ht="15.75" customHeight="1">
      <c r="K246" s="8"/>
      <c r="L246" s="8"/>
      <c r="O246" s="8"/>
      <c r="Q246" s="8"/>
      <c r="R246" s="8"/>
      <c r="S246" s="8"/>
    </row>
    <row r="247" ht="15.75" customHeight="1">
      <c r="K247" s="8"/>
      <c r="L247" s="8"/>
      <c r="O247" s="8"/>
      <c r="Q247" s="8"/>
      <c r="R247" s="8"/>
      <c r="S247" s="8"/>
    </row>
    <row r="248" ht="15.75" customHeight="1">
      <c r="K248" s="8"/>
      <c r="L248" s="8"/>
      <c r="O248" s="8"/>
      <c r="Q248" s="8"/>
      <c r="R248" s="8"/>
      <c r="S248" s="8"/>
    </row>
    <row r="249" ht="15.75" customHeight="1">
      <c r="K249" s="8"/>
      <c r="L249" s="8"/>
      <c r="O249" s="8"/>
      <c r="Q249" s="8"/>
      <c r="R249" s="8"/>
      <c r="S249" s="8"/>
    </row>
    <row r="250" ht="15.75" customHeight="1">
      <c r="K250" s="8"/>
      <c r="L250" s="8"/>
      <c r="O250" s="8"/>
      <c r="Q250" s="8"/>
      <c r="R250" s="8"/>
      <c r="S250" s="8"/>
    </row>
    <row r="251" ht="15.75" customHeight="1">
      <c r="K251" s="8"/>
      <c r="L251" s="8"/>
      <c r="O251" s="8"/>
      <c r="Q251" s="8"/>
      <c r="R251" s="8"/>
      <c r="S251" s="8"/>
    </row>
    <row r="252" ht="15.75" customHeight="1">
      <c r="K252" s="8"/>
      <c r="L252" s="8"/>
      <c r="O252" s="8"/>
      <c r="Q252" s="8"/>
      <c r="R252" s="8"/>
      <c r="S252" s="8"/>
    </row>
    <row r="253" ht="15.75" customHeight="1">
      <c r="K253" s="8"/>
      <c r="L253" s="8"/>
      <c r="O253" s="8"/>
      <c r="Q253" s="8"/>
      <c r="R253" s="8"/>
      <c r="S253" s="8"/>
    </row>
    <row r="254" ht="15.75" customHeight="1">
      <c r="K254" s="8"/>
      <c r="L254" s="8"/>
      <c r="O254" s="8"/>
      <c r="Q254" s="8"/>
      <c r="R254" s="8"/>
      <c r="S254" s="8"/>
    </row>
    <row r="255" ht="15.75" customHeight="1">
      <c r="K255" s="8"/>
      <c r="L255" s="8"/>
      <c r="O255" s="8"/>
      <c r="Q255" s="8"/>
      <c r="R255" s="8"/>
      <c r="S255" s="8"/>
    </row>
    <row r="256" ht="15.75" customHeight="1">
      <c r="K256" s="8"/>
      <c r="L256" s="8"/>
      <c r="O256" s="8"/>
      <c r="Q256" s="8"/>
      <c r="R256" s="8"/>
      <c r="S256" s="8"/>
    </row>
    <row r="257" ht="15.75" customHeight="1">
      <c r="K257" s="8"/>
      <c r="L257" s="8"/>
      <c r="O257" s="8"/>
      <c r="Q257" s="8"/>
      <c r="R257" s="8"/>
      <c r="S257" s="8"/>
    </row>
    <row r="258" ht="15.75" customHeight="1">
      <c r="K258" s="8"/>
      <c r="L258" s="8"/>
      <c r="O258" s="8"/>
      <c r="Q258" s="8"/>
      <c r="R258" s="8"/>
      <c r="S258" s="8"/>
    </row>
    <row r="259" ht="15.75" customHeight="1">
      <c r="K259" s="8"/>
      <c r="L259" s="8"/>
      <c r="O259" s="8"/>
      <c r="Q259" s="8"/>
      <c r="R259" s="8"/>
      <c r="S259" s="8"/>
    </row>
    <row r="260" ht="15.75" customHeight="1">
      <c r="K260" s="8"/>
      <c r="L260" s="8"/>
      <c r="O260" s="8"/>
      <c r="Q260" s="8"/>
      <c r="R260" s="8"/>
      <c r="S260" s="8"/>
    </row>
    <row r="261" ht="15.75" customHeight="1">
      <c r="K261" s="8"/>
      <c r="L261" s="8"/>
      <c r="O261" s="8"/>
      <c r="Q261" s="8"/>
      <c r="R261" s="8"/>
      <c r="S261" s="8"/>
    </row>
    <row r="262" ht="15.75" customHeight="1">
      <c r="K262" s="8"/>
      <c r="L262" s="8"/>
      <c r="O262" s="8"/>
      <c r="Q262" s="8"/>
      <c r="R262" s="8"/>
      <c r="S262" s="8"/>
    </row>
    <row r="263" ht="15.75" customHeight="1">
      <c r="K263" s="8"/>
      <c r="L263" s="8"/>
      <c r="O263" s="8"/>
      <c r="Q263" s="8"/>
      <c r="R263" s="8"/>
      <c r="S263" s="8"/>
    </row>
    <row r="264" ht="15.75" customHeight="1">
      <c r="K264" s="8"/>
      <c r="L264" s="8"/>
      <c r="O264" s="8"/>
      <c r="Q264" s="8"/>
      <c r="R264" s="8"/>
      <c r="S264" s="8"/>
    </row>
    <row r="265" ht="15.75" customHeight="1">
      <c r="K265" s="8"/>
      <c r="L265" s="8"/>
      <c r="O265" s="8"/>
      <c r="Q265" s="8"/>
      <c r="R265" s="8"/>
      <c r="S265" s="8"/>
    </row>
    <row r="266" ht="15.75" customHeight="1">
      <c r="K266" s="8"/>
      <c r="L266" s="8"/>
      <c r="O266" s="8"/>
      <c r="Q266" s="8"/>
      <c r="R266" s="8"/>
      <c r="S266" s="8"/>
    </row>
    <row r="267" ht="15.75" customHeight="1">
      <c r="K267" s="8"/>
      <c r="L267" s="8"/>
      <c r="O267" s="8"/>
      <c r="Q267" s="8"/>
      <c r="R267" s="8"/>
      <c r="S267" s="8"/>
    </row>
    <row r="268" ht="15.75" customHeight="1">
      <c r="K268" s="8"/>
      <c r="L268" s="8"/>
      <c r="O268" s="8"/>
      <c r="Q268" s="8"/>
      <c r="R268" s="8"/>
      <c r="S268" s="8"/>
    </row>
    <row r="269" ht="15.75" customHeight="1">
      <c r="K269" s="8"/>
      <c r="L269" s="8"/>
      <c r="O269" s="8"/>
      <c r="Q269" s="8"/>
      <c r="R269" s="8"/>
      <c r="S269" s="8"/>
    </row>
    <row r="270" ht="15.75" customHeight="1">
      <c r="K270" s="8"/>
      <c r="L270" s="8"/>
      <c r="O270" s="8"/>
      <c r="Q270" s="8"/>
      <c r="R270" s="8"/>
      <c r="S270" s="8"/>
    </row>
    <row r="271" ht="15.75" customHeight="1">
      <c r="K271" s="8"/>
      <c r="L271" s="8"/>
      <c r="O271" s="8"/>
      <c r="Q271" s="8"/>
      <c r="R271" s="8"/>
      <c r="S271" s="8"/>
    </row>
    <row r="272" ht="15.75" customHeight="1">
      <c r="K272" s="8"/>
      <c r="L272" s="8"/>
      <c r="O272" s="8"/>
      <c r="Q272" s="8"/>
      <c r="R272" s="8"/>
      <c r="S272" s="8"/>
    </row>
    <row r="273" ht="15.75" customHeight="1">
      <c r="K273" s="8"/>
      <c r="L273" s="8"/>
      <c r="O273" s="8"/>
      <c r="Q273" s="8"/>
      <c r="R273" s="8"/>
      <c r="S273" s="8"/>
    </row>
    <row r="274" ht="15.75" customHeight="1">
      <c r="K274" s="8"/>
      <c r="L274" s="8"/>
      <c r="O274" s="8"/>
      <c r="Q274" s="8"/>
      <c r="R274" s="8"/>
      <c r="S274" s="8"/>
    </row>
    <row r="275" ht="15.75" customHeight="1">
      <c r="K275" s="8"/>
      <c r="L275" s="8"/>
      <c r="O275" s="8"/>
      <c r="Q275" s="8"/>
      <c r="R275" s="8"/>
      <c r="S275" s="8"/>
    </row>
    <row r="276" ht="15.75" customHeight="1">
      <c r="K276" s="8"/>
      <c r="L276" s="8"/>
      <c r="O276" s="8"/>
      <c r="Q276" s="8"/>
      <c r="R276" s="8"/>
      <c r="S276" s="8"/>
    </row>
    <row r="277" ht="15.75" customHeight="1">
      <c r="K277" s="8"/>
      <c r="L277" s="8"/>
      <c r="O277" s="8"/>
      <c r="Q277" s="8"/>
      <c r="R277" s="8"/>
      <c r="S277" s="8"/>
    </row>
    <row r="278" ht="15.75" customHeight="1">
      <c r="K278" s="8"/>
      <c r="L278" s="8"/>
      <c r="O278" s="8"/>
      <c r="Q278" s="8"/>
      <c r="R278" s="8"/>
      <c r="S278" s="8"/>
    </row>
    <row r="279" ht="15.75" customHeight="1">
      <c r="K279" s="8"/>
      <c r="L279" s="8"/>
      <c r="O279" s="8"/>
      <c r="Q279" s="8"/>
      <c r="R279" s="8"/>
      <c r="S279" s="8"/>
    </row>
    <row r="280" ht="15.75" customHeight="1">
      <c r="K280" s="8"/>
      <c r="L280" s="8"/>
      <c r="O280" s="8"/>
      <c r="Q280" s="8"/>
      <c r="R280" s="8"/>
      <c r="S280" s="8"/>
    </row>
    <row r="281" ht="15.75" customHeight="1">
      <c r="K281" s="8"/>
      <c r="L281" s="8"/>
      <c r="O281" s="8"/>
      <c r="Q281" s="8"/>
      <c r="R281" s="8"/>
      <c r="S281" s="8"/>
    </row>
    <row r="282" ht="15.75" customHeight="1">
      <c r="K282" s="8"/>
      <c r="L282" s="8"/>
      <c r="O282" s="8"/>
      <c r="Q282" s="8"/>
      <c r="R282" s="8"/>
      <c r="S282" s="8"/>
    </row>
    <row r="283" ht="15.75" customHeight="1">
      <c r="K283" s="8"/>
      <c r="L283" s="8"/>
      <c r="O283" s="8"/>
      <c r="Q283" s="8"/>
      <c r="R283" s="8"/>
      <c r="S283" s="8"/>
    </row>
    <row r="284" ht="15.75" customHeight="1">
      <c r="K284" s="8"/>
      <c r="L284" s="8"/>
      <c r="O284" s="8"/>
      <c r="Q284" s="8"/>
      <c r="R284" s="8"/>
      <c r="S284" s="8"/>
    </row>
    <row r="285" ht="15.75" customHeight="1">
      <c r="K285" s="8"/>
      <c r="L285" s="8"/>
      <c r="O285" s="8"/>
      <c r="Q285" s="8"/>
      <c r="R285" s="8"/>
      <c r="S285" s="8"/>
    </row>
    <row r="286" ht="15.75" customHeight="1">
      <c r="K286" s="8"/>
      <c r="L286" s="8"/>
      <c r="O286" s="8"/>
      <c r="Q286" s="8"/>
      <c r="R286" s="8"/>
      <c r="S286" s="8"/>
    </row>
    <row r="287" ht="15.75" customHeight="1">
      <c r="K287" s="8"/>
      <c r="L287" s="8"/>
      <c r="O287" s="8"/>
      <c r="Q287" s="8"/>
      <c r="R287" s="8"/>
      <c r="S287" s="8"/>
    </row>
    <row r="288" ht="15.75" customHeight="1">
      <c r="K288" s="8"/>
      <c r="L288" s="8"/>
      <c r="O288" s="8"/>
      <c r="Q288" s="8"/>
      <c r="R288" s="8"/>
      <c r="S288" s="8"/>
    </row>
    <row r="289" ht="15.75" customHeight="1">
      <c r="K289" s="8"/>
      <c r="L289" s="8"/>
      <c r="O289" s="8"/>
      <c r="Q289" s="8"/>
      <c r="R289" s="8"/>
      <c r="S289" s="8"/>
    </row>
    <row r="290" ht="15.75" customHeight="1">
      <c r="K290" s="8"/>
      <c r="L290" s="8"/>
      <c r="O290" s="8"/>
      <c r="Q290" s="8"/>
      <c r="R290" s="8"/>
      <c r="S290" s="8"/>
    </row>
    <row r="291" ht="15.75" customHeight="1">
      <c r="K291" s="8"/>
      <c r="L291" s="8"/>
      <c r="O291" s="8"/>
      <c r="Q291" s="8"/>
      <c r="R291" s="8"/>
      <c r="S291" s="8"/>
    </row>
    <row r="292" ht="15.75" customHeight="1">
      <c r="K292" s="8"/>
      <c r="L292" s="8"/>
      <c r="O292" s="8"/>
      <c r="Q292" s="8"/>
      <c r="R292" s="8"/>
      <c r="S292" s="8"/>
    </row>
    <row r="293" ht="15.75" customHeight="1">
      <c r="K293" s="8"/>
      <c r="L293" s="8"/>
      <c r="O293" s="8"/>
      <c r="Q293" s="8"/>
      <c r="R293" s="8"/>
      <c r="S293" s="8"/>
    </row>
    <row r="294" ht="15.75" customHeight="1">
      <c r="K294" s="8"/>
      <c r="L294" s="8"/>
      <c r="O294" s="8"/>
      <c r="Q294" s="8"/>
      <c r="R294" s="8"/>
      <c r="S294" s="8"/>
    </row>
    <row r="295" ht="15.75" customHeight="1">
      <c r="K295" s="8"/>
      <c r="L295" s="8"/>
      <c r="O295" s="8"/>
      <c r="Q295" s="8"/>
      <c r="R295" s="8"/>
      <c r="S295" s="8"/>
    </row>
    <row r="296" ht="15.75" customHeight="1">
      <c r="K296" s="8"/>
      <c r="L296" s="8"/>
      <c r="O296" s="8"/>
      <c r="Q296" s="8"/>
      <c r="R296" s="8"/>
      <c r="S296" s="8"/>
    </row>
    <row r="297" ht="15.75" customHeight="1">
      <c r="K297" s="8"/>
      <c r="L297" s="8"/>
      <c r="O297" s="8"/>
      <c r="Q297" s="8"/>
      <c r="R297" s="8"/>
      <c r="S297" s="8"/>
    </row>
    <row r="298" ht="15.75" customHeight="1">
      <c r="K298" s="8"/>
      <c r="L298" s="8"/>
      <c r="O298" s="8"/>
      <c r="Q298" s="8"/>
      <c r="R298" s="8"/>
      <c r="S298" s="8"/>
    </row>
    <row r="299" ht="15.75" customHeight="1">
      <c r="K299" s="8"/>
      <c r="L299" s="8"/>
      <c r="O299" s="8"/>
      <c r="Q299" s="8"/>
      <c r="R299" s="8"/>
      <c r="S299" s="8"/>
    </row>
    <row r="300" ht="15.75" customHeight="1">
      <c r="K300" s="8"/>
      <c r="L300" s="8"/>
      <c r="O300" s="8"/>
      <c r="Q300" s="8"/>
      <c r="R300" s="8"/>
      <c r="S300" s="8"/>
    </row>
    <row r="301" ht="15.75" customHeight="1">
      <c r="K301" s="8"/>
      <c r="L301" s="8"/>
      <c r="O301" s="8"/>
      <c r="Q301" s="8"/>
      <c r="R301" s="8"/>
      <c r="S301" s="8"/>
    </row>
    <row r="302" ht="15.75" customHeight="1">
      <c r="K302" s="8"/>
      <c r="L302" s="8"/>
      <c r="O302" s="8"/>
      <c r="Q302" s="8"/>
      <c r="R302" s="8"/>
      <c r="S302" s="8"/>
    </row>
    <row r="303" ht="15.75" customHeight="1">
      <c r="K303" s="8"/>
      <c r="L303" s="8"/>
      <c r="O303" s="8"/>
      <c r="Q303" s="8"/>
      <c r="R303" s="8"/>
      <c r="S303" s="8"/>
    </row>
    <row r="304" ht="15.75" customHeight="1">
      <c r="K304" s="8"/>
      <c r="L304" s="8"/>
      <c r="O304" s="8"/>
      <c r="Q304" s="8"/>
      <c r="R304" s="8"/>
      <c r="S304" s="8"/>
    </row>
    <row r="305" ht="15.75" customHeight="1">
      <c r="K305" s="8"/>
      <c r="L305" s="8"/>
      <c r="O305" s="8"/>
      <c r="Q305" s="8"/>
      <c r="R305" s="8"/>
      <c r="S305" s="8"/>
    </row>
    <row r="306" ht="15.75" customHeight="1">
      <c r="K306" s="8"/>
      <c r="L306" s="8"/>
      <c r="O306" s="8"/>
      <c r="Q306" s="8"/>
      <c r="R306" s="8"/>
      <c r="S306" s="8"/>
    </row>
    <row r="307" ht="15.75" customHeight="1">
      <c r="K307" s="8"/>
      <c r="L307" s="8"/>
      <c r="O307" s="8"/>
      <c r="Q307" s="8"/>
      <c r="R307" s="8"/>
      <c r="S307" s="8"/>
    </row>
    <row r="308" ht="15.75" customHeight="1">
      <c r="K308" s="8"/>
      <c r="L308" s="8"/>
      <c r="O308" s="8"/>
      <c r="Q308" s="8"/>
      <c r="R308" s="8"/>
      <c r="S308" s="8"/>
    </row>
    <row r="309" ht="15.75" customHeight="1">
      <c r="K309" s="8"/>
      <c r="L309" s="8"/>
      <c r="O309" s="8"/>
      <c r="Q309" s="8"/>
      <c r="R309" s="8"/>
      <c r="S309" s="8"/>
    </row>
    <row r="310" ht="15.75" customHeight="1">
      <c r="K310" s="8"/>
      <c r="L310" s="8"/>
      <c r="O310" s="8"/>
      <c r="Q310" s="8"/>
      <c r="R310" s="8"/>
      <c r="S310" s="8"/>
    </row>
    <row r="311" ht="15.75" customHeight="1">
      <c r="K311" s="8"/>
      <c r="L311" s="8"/>
      <c r="O311" s="8"/>
      <c r="Q311" s="8"/>
      <c r="R311" s="8"/>
      <c r="S311" s="8"/>
    </row>
    <row r="312" ht="15.75" customHeight="1">
      <c r="K312" s="8"/>
      <c r="L312" s="8"/>
      <c r="O312" s="8"/>
      <c r="Q312" s="8"/>
      <c r="R312" s="8"/>
      <c r="S312" s="8"/>
    </row>
    <row r="313" ht="15.75" customHeight="1">
      <c r="K313" s="8"/>
      <c r="L313" s="8"/>
      <c r="O313" s="8"/>
      <c r="Q313" s="8"/>
      <c r="R313" s="8"/>
      <c r="S313" s="8"/>
    </row>
    <row r="314" ht="15.75" customHeight="1">
      <c r="K314" s="8"/>
      <c r="L314" s="8"/>
      <c r="O314" s="8"/>
      <c r="Q314" s="8"/>
      <c r="R314" s="8"/>
      <c r="S314" s="8"/>
    </row>
    <row r="315" ht="15.75" customHeight="1">
      <c r="K315" s="8"/>
      <c r="L315" s="8"/>
      <c r="O315" s="8"/>
      <c r="Q315" s="8"/>
      <c r="R315" s="8"/>
      <c r="S315" s="8"/>
    </row>
    <row r="316" ht="15.75" customHeight="1">
      <c r="K316" s="8"/>
      <c r="L316" s="8"/>
      <c r="O316" s="8"/>
      <c r="Q316" s="8"/>
      <c r="R316" s="8"/>
      <c r="S316" s="8"/>
    </row>
    <row r="317" ht="15.75" customHeight="1">
      <c r="K317" s="8"/>
      <c r="L317" s="8"/>
      <c r="O317" s="8"/>
      <c r="Q317" s="8"/>
      <c r="R317" s="8"/>
      <c r="S317" s="8"/>
    </row>
    <row r="318" ht="15.75" customHeight="1">
      <c r="K318" s="8"/>
      <c r="L318" s="8"/>
      <c r="O318" s="8"/>
      <c r="Q318" s="8"/>
      <c r="R318" s="8"/>
      <c r="S318" s="8"/>
    </row>
    <row r="319" ht="15.75" customHeight="1">
      <c r="K319" s="8"/>
      <c r="L319" s="8"/>
      <c r="O319" s="8"/>
      <c r="Q319" s="8"/>
      <c r="R319" s="8"/>
      <c r="S319" s="8"/>
    </row>
    <row r="320" ht="15.75" customHeight="1">
      <c r="K320" s="8"/>
      <c r="L320" s="8"/>
      <c r="O320" s="8"/>
      <c r="Q320" s="8"/>
      <c r="R320" s="8"/>
      <c r="S320" s="8"/>
    </row>
    <row r="321" ht="15.75" customHeight="1">
      <c r="K321" s="8"/>
      <c r="L321" s="8"/>
      <c r="O321" s="8"/>
      <c r="Q321" s="8"/>
      <c r="R321" s="8"/>
      <c r="S321" s="8"/>
    </row>
    <row r="322" ht="15.75" customHeight="1">
      <c r="K322" s="8"/>
      <c r="L322" s="8"/>
      <c r="O322" s="8"/>
      <c r="Q322" s="8"/>
      <c r="R322" s="8"/>
      <c r="S322" s="8"/>
    </row>
    <row r="323" ht="15.75" customHeight="1">
      <c r="K323" s="8"/>
      <c r="L323" s="8"/>
      <c r="O323" s="8"/>
      <c r="Q323" s="8"/>
      <c r="R323" s="8"/>
      <c r="S323" s="8"/>
    </row>
    <row r="324" ht="15.75" customHeight="1">
      <c r="K324" s="8"/>
      <c r="L324" s="8"/>
      <c r="O324" s="8"/>
      <c r="Q324" s="8"/>
      <c r="R324" s="8"/>
      <c r="S324" s="8"/>
    </row>
    <row r="325" ht="15.75" customHeight="1">
      <c r="K325" s="8"/>
      <c r="L325" s="8"/>
      <c r="O325" s="8"/>
      <c r="Q325" s="8"/>
      <c r="R325" s="8"/>
      <c r="S325" s="8"/>
    </row>
    <row r="326" ht="15.75" customHeight="1">
      <c r="K326" s="8"/>
      <c r="L326" s="8"/>
      <c r="O326" s="8"/>
      <c r="Q326" s="8"/>
      <c r="R326" s="8"/>
      <c r="S326" s="8"/>
    </row>
    <row r="327" ht="15.75" customHeight="1">
      <c r="K327" s="8"/>
      <c r="L327" s="8"/>
      <c r="O327" s="8"/>
      <c r="Q327" s="8"/>
      <c r="R327" s="8"/>
      <c r="S327" s="8"/>
    </row>
    <row r="328" ht="15.75" customHeight="1">
      <c r="K328" s="8"/>
      <c r="L328" s="8"/>
      <c r="O328" s="8"/>
      <c r="Q328" s="8"/>
      <c r="R328" s="8"/>
      <c r="S328" s="8"/>
    </row>
    <row r="329" ht="15.75" customHeight="1">
      <c r="K329" s="8"/>
      <c r="L329" s="8"/>
      <c r="O329" s="8"/>
      <c r="Q329" s="8"/>
      <c r="R329" s="8"/>
      <c r="S329" s="8"/>
    </row>
    <row r="330" ht="15.75" customHeight="1">
      <c r="K330" s="8"/>
      <c r="L330" s="8"/>
      <c r="O330" s="8"/>
      <c r="Q330" s="8"/>
      <c r="R330" s="8"/>
      <c r="S330" s="8"/>
    </row>
    <row r="331" ht="15.75" customHeight="1">
      <c r="K331" s="8"/>
      <c r="L331" s="8"/>
      <c r="O331" s="8"/>
      <c r="Q331" s="8"/>
      <c r="R331" s="8"/>
      <c r="S331" s="8"/>
    </row>
    <row r="332" ht="15.75" customHeight="1">
      <c r="K332" s="8"/>
      <c r="L332" s="8"/>
      <c r="O332" s="8"/>
      <c r="Q332" s="8"/>
      <c r="R332" s="8"/>
      <c r="S332" s="8"/>
    </row>
    <row r="333" ht="15.75" customHeight="1">
      <c r="K333" s="8"/>
      <c r="L333" s="8"/>
      <c r="O333" s="8"/>
      <c r="Q333" s="8"/>
      <c r="R333" s="8"/>
      <c r="S333" s="8"/>
    </row>
    <row r="334" ht="15.75" customHeight="1">
      <c r="K334" s="8"/>
      <c r="L334" s="8"/>
      <c r="O334" s="8"/>
      <c r="Q334" s="8"/>
      <c r="R334" s="8"/>
      <c r="S334" s="8"/>
    </row>
    <row r="335" ht="15.75" customHeight="1">
      <c r="K335" s="8"/>
      <c r="L335" s="8"/>
      <c r="O335" s="8"/>
      <c r="Q335" s="8"/>
      <c r="R335" s="8"/>
      <c r="S335" s="8"/>
    </row>
    <row r="336" ht="15.75" customHeight="1">
      <c r="K336" s="8"/>
      <c r="L336" s="8"/>
      <c r="O336" s="8"/>
      <c r="Q336" s="8"/>
      <c r="R336" s="8"/>
      <c r="S336" s="8"/>
    </row>
    <row r="337" ht="15.75" customHeight="1">
      <c r="K337" s="8"/>
      <c r="L337" s="8"/>
      <c r="O337" s="8"/>
      <c r="Q337" s="8"/>
      <c r="R337" s="8"/>
      <c r="S337" s="8"/>
    </row>
    <row r="338" ht="15.75" customHeight="1">
      <c r="K338" s="8"/>
      <c r="L338" s="8"/>
      <c r="O338" s="8"/>
      <c r="Q338" s="8"/>
      <c r="R338" s="8"/>
      <c r="S338" s="8"/>
    </row>
    <row r="339" ht="15.75" customHeight="1">
      <c r="K339" s="8"/>
      <c r="L339" s="8"/>
      <c r="O339" s="8"/>
      <c r="Q339" s="8"/>
      <c r="R339" s="8"/>
      <c r="S339" s="8"/>
    </row>
    <row r="340" ht="15.75" customHeight="1">
      <c r="K340" s="8"/>
      <c r="L340" s="8"/>
      <c r="O340" s="8"/>
      <c r="Q340" s="8"/>
      <c r="R340" s="8"/>
      <c r="S340" s="8"/>
    </row>
    <row r="341" ht="15.75" customHeight="1">
      <c r="K341" s="8"/>
      <c r="L341" s="8"/>
      <c r="O341" s="8"/>
      <c r="Q341" s="8"/>
      <c r="R341" s="8"/>
      <c r="S341" s="8"/>
    </row>
    <row r="342" ht="15.75" customHeight="1">
      <c r="K342" s="8"/>
      <c r="L342" s="8"/>
      <c r="O342" s="8"/>
      <c r="Q342" s="8"/>
      <c r="R342" s="8"/>
      <c r="S342" s="8"/>
    </row>
    <row r="343" ht="15.75" customHeight="1">
      <c r="K343" s="8"/>
      <c r="L343" s="8"/>
      <c r="O343" s="8"/>
      <c r="Q343" s="8"/>
      <c r="R343" s="8"/>
      <c r="S343" s="8"/>
    </row>
    <row r="344" ht="15.75" customHeight="1">
      <c r="K344" s="8"/>
      <c r="L344" s="8"/>
      <c r="O344" s="8"/>
      <c r="Q344" s="8"/>
      <c r="R344" s="8"/>
      <c r="S344" s="8"/>
    </row>
    <row r="345" ht="15.75" customHeight="1">
      <c r="K345" s="8"/>
      <c r="L345" s="8"/>
      <c r="O345" s="8"/>
      <c r="Q345" s="8"/>
      <c r="R345" s="8"/>
      <c r="S345" s="8"/>
    </row>
    <row r="346" ht="15.75" customHeight="1">
      <c r="K346" s="8"/>
      <c r="L346" s="8"/>
      <c r="O346" s="8"/>
      <c r="Q346" s="8"/>
      <c r="R346" s="8"/>
      <c r="S346" s="8"/>
    </row>
    <row r="347" ht="15.75" customHeight="1">
      <c r="K347" s="8"/>
      <c r="L347" s="8"/>
      <c r="O347" s="8"/>
      <c r="Q347" s="8"/>
      <c r="R347" s="8"/>
      <c r="S347" s="8"/>
    </row>
    <row r="348" ht="15.75" customHeight="1">
      <c r="K348" s="8"/>
      <c r="L348" s="8"/>
      <c r="O348" s="8"/>
      <c r="Q348" s="8"/>
      <c r="R348" s="8"/>
      <c r="S348" s="8"/>
    </row>
    <row r="349" ht="15.75" customHeight="1">
      <c r="K349" s="8"/>
      <c r="L349" s="8"/>
      <c r="O349" s="8"/>
      <c r="Q349" s="8"/>
      <c r="R349" s="8"/>
      <c r="S349" s="8"/>
    </row>
    <row r="350" ht="15.75" customHeight="1">
      <c r="K350" s="8"/>
      <c r="L350" s="8"/>
      <c r="O350" s="8"/>
      <c r="Q350" s="8"/>
      <c r="R350" s="8"/>
      <c r="S350" s="8"/>
    </row>
    <row r="351" ht="15.75" customHeight="1">
      <c r="K351" s="8"/>
      <c r="L351" s="8"/>
      <c r="O351" s="8"/>
      <c r="Q351" s="8"/>
      <c r="R351" s="8"/>
      <c r="S351" s="8"/>
    </row>
    <row r="352" ht="15.75" customHeight="1">
      <c r="K352" s="8"/>
      <c r="L352" s="8"/>
      <c r="O352" s="8"/>
      <c r="Q352" s="8"/>
      <c r="R352" s="8"/>
      <c r="S352" s="8"/>
    </row>
    <row r="353" ht="15.75" customHeight="1">
      <c r="K353" s="8"/>
      <c r="L353" s="8"/>
      <c r="O353" s="8"/>
      <c r="Q353" s="8"/>
      <c r="R353" s="8"/>
      <c r="S353" s="8"/>
    </row>
    <row r="354" ht="15.75" customHeight="1">
      <c r="K354" s="8"/>
      <c r="L354" s="8"/>
      <c r="O354" s="8"/>
      <c r="Q354" s="8"/>
      <c r="R354" s="8"/>
      <c r="S354" s="8"/>
    </row>
    <row r="355" ht="15.75" customHeight="1">
      <c r="K355" s="8"/>
      <c r="L355" s="8"/>
      <c r="O355" s="8"/>
      <c r="Q355" s="8"/>
      <c r="R355" s="8"/>
      <c r="S355" s="8"/>
    </row>
    <row r="356" ht="15.75" customHeight="1">
      <c r="K356" s="8"/>
      <c r="L356" s="8"/>
      <c r="O356" s="8"/>
      <c r="Q356" s="8"/>
      <c r="R356" s="8"/>
      <c r="S356" s="8"/>
    </row>
    <row r="357" ht="15.75" customHeight="1">
      <c r="K357" s="8"/>
      <c r="L357" s="8"/>
      <c r="O357" s="8"/>
      <c r="Q357" s="8"/>
      <c r="R357" s="8"/>
      <c r="S357" s="8"/>
    </row>
    <row r="358" ht="15.75" customHeight="1">
      <c r="K358" s="8"/>
      <c r="L358" s="8"/>
      <c r="O358" s="8"/>
      <c r="Q358" s="8"/>
      <c r="R358" s="8"/>
      <c r="S358" s="8"/>
    </row>
    <row r="359" ht="15.75" customHeight="1">
      <c r="K359" s="8"/>
      <c r="L359" s="8"/>
      <c r="O359" s="8"/>
      <c r="Q359" s="8"/>
      <c r="R359" s="8"/>
      <c r="S359" s="8"/>
    </row>
    <row r="360" ht="15.75" customHeight="1">
      <c r="K360" s="8"/>
      <c r="L360" s="8"/>
      <c r="O360" s="8"/>
      <c r="Q360" s="8"/>
      <c r="R360" s="8"/>
      <c r="S360" s="8"/>
    </row>
    <row r="361" ht="15.75" customHeight="1">
      <c r="K361" s="8"/>
      <c r="L361" s="8"/>
      <c r="O361" s="8"/>
      <c r="Q361" s="8"/>
      <c r="R361" s="8"/>
      <c r="S361" s="8"/>
    </row>
    <row r="362" ht="15.75" customHeight="1">
      <c r="K362" s="8"/>
      <c r="L362" s="8"/>
      <c r="O362" s="8"/>
      <c r="Q362" s="8"/>
      <c r="R362" s="8"/>
      <c r="S362" s="8"/>
    </row>
    <row r="363" ht="15.75" customHeight="1">
      <c r="K363" s="8"/>
      <c r="L363" s="8"/>
      <c r="O363" s="8"/>
      <c r="Q363" s="8"/>
      <c r="R363" s="8"/>
      <c r="S363" s="8"/>
    </row>
    <row r="364" ht="15.75" customHeight="1">
      <c r="K364" s="8"/>
      <c r="L364" s="8"/>
      <c r="O364" s="8"/>
      <c r="Q364" s="8"/>
      <c r="R364" s="8"/>
      <c r="S364" s="8"/>
    </row>
    <row r="365" ht="15.75" customHeight="1">
      <c r="K365" s="8"/>
      <c r="L365" s="8"/>
      <c r="O365" s="8"/>
      <c r="Q365" s="8"/>
      <c r="R365" s="8"/>
      <c r="S365" s="8"/>
    </row>
    <row r="366" ht="15.75" customHeight="1">
      <c r="K366" s="8"/>
      <c r="L366" s="8"/>
      <c r="O366" s="8"/>
      <c r="Q366" s="8"/>
      <c r="R366" s="8"/>
      <c r="S366" s="8"/>
    </row>
    <row r="367" ht="15.75" customHeight="1">
      <c r="K367" s="8"/>
      <c r="L367" s="8"/>
      <c r="O367" s="8"/>
      <c r="Q367" s="8"/>
      <c r="R367" s="8"/>
      <c r="S367" s="8"/>
    </row>
    <row r="368" ht="15.75" customHeight="1">
      <c r="K368" s="8"/>
      <c r="L368" s="8"/>
      <c r="O368" s="8"/>
      <c r="Q368" s="8"/>
      <c r="R368" s="8"/>
      <c r="S368" s="8"/>
    </row>
    <row r="369" ht="15.75" customHeight="1">
      <c r="K369" s="8"/>
      <c r="L369" s="8"/>
      <c r="O369" s="8"/>
      <c r="Q369" s="8"/>
      <c r="R369" s="8"/>
      <c r="S369" s="8"/>
    </row>
    <row r="370" ht="15.75" customHeight="1">
      <c r="K370" s="8"/>
      <c r="L370" s="8"/>
      <c r="O370" s="8"/>
      <c r="Q370" s="8"/>
      <c r="R370" s="8"/>
      <c r="S370" s="8"/>
    </row>
    <row r="371" ht="15.75" customHeight="1">
      <c r="K371" s="8"/>
      <c r="L371" s="8"/>
      <c r="O371" s="8"/>
      <c r="Q371" s="8"/>
      <c r="R371" s="8"/>
      <c r="S371" s="8"/>
    </row>
    <row r="372" ht="15.75" customHeight="1">
      <c r="K372" s="8"/>
      <c r="L372" s="8"/>
      <c r="O372" s="8"/>
      <c r="Q372" s="8"/>
      <c r="R372" s="8"/>
      <c r="S372" s="8"/>
    </row>
    <row r="373" ht="15.75" customHeight="1">
      <c r="K373" s="8"/>
      <c r="L373" s="8"/>
      <c r="O373" s="8"/>
      <c r="Q373" s="8"/>
      <c r="R373" s="8"/>
      <c r="S373" s="8"/>
    </row>
    <row r="374" ht="15.75" customHeight="1">
      <c r="K374" s="8"/>
      <c r="L374" s="8"/>
      <c r="O374" s="8"/>
      <c r="Q374" s="8"/>
      <c r="R374" s="8"/>
      <c r="S374" s="8"/>
    </row>
    <row r="375" ht="15.75" customHeight="1">
      <c r="K375" s="8"/>
      <c r="L375" s="8"/>
      <c r="O375" s="8"/>
      <c r="Q375" s="8"/>
      <c r="R375" s="8"/>
      <c r="S375" s="8"/>
    </row>
    <row r="376" ht="15.75" customHeight="1">
      <c r="K376" s="8"/>
      <c r="L376" s="8"/>
      <c r="O376" s="8"/>
      <c r="Q376" s="8"/>
      <c r="R376" s="8"/>
      <c r="S376" s="8"/>
    </row>
    <row r="377" ht="15.75" customHeight="1">
      <c r="K377" s="8"/>
      <c r="L377" s="8"/>
      <c r="O377" s="8"/>
      <c r="Q377" s="8"/>
      <c r="R377" s="8"/>
      <c r="S377" s="8"/>
    </row>
    <row r="378" ht="15.75" customHeight="1">
      <c r="K378" s="8"/>
      <c r="L378" s="8"/>
      <c r="O378" s="8"/>
      <c r="Q378" s="8"/>
      <c r="R378" s="8"/>
      <c r="S378" s="8"/>
    </row>
    <row r="379" ht="15.75" customHeight="1">
      <c r="K379" s="8"/>
      <c r="L379" s="8"/>
      <c r="O379" s="8"/>
      <c r="Q379" s="8"/>
      <c r="R379" s="8"/>
      <c r="S379" s="8"/>
    </row>
    <row r="380" ht="15.75" customHeight="1">
      <c r="K380" s="8"/>
      <c r="L380" s="8"/>
      <c r="O380" s="8"/>
      <c r="Q380" s="8"/>
      <c r="R380" s="8"/>
      <c r="S380" s="8"/>
    </row>
    <row r="381" ht="15.75" customHeight="1">
      <c r="K381" s="8"/>
      <c r="L381" s="8"/>
      <c r="O381" s="8"/>
      <c r="Q381" s="8"/>
      <c r="R381" s="8"/>
      <c r="S381" s="8"/>
    </row>
    <row r="382" ht="15.75" customHeight="1">
      <c r="K382" s="8"/>
      <c r="L382" s="8"/>
      <c r="O382" s="8"/>
      <c r="Q382" s="8"/>
      <c r="R382" s="8"/>
      <c r="S382" s="8"/>
    </row>
    <row r="383" ht="15.75" customHeight="1">
      <c r="K383" s="8"/>
      <c r="L383" s="8"/>
      <c r="O383" s="8"/>
      <c r="Q383" s="8"/>
      <c r="R383" s="8"/>
      <c r="S383" s="8"/>
    </row>
    <row r="384" ht="15.75" customHeight="1">
      <c r="K384" s="8"/>
      <c r="L384" s="8"/>
      <c r="O384" s="8"/>
      <c r="Q384" s="8"/>
      <c r="R384" s="8"/>
      <c r="S384" s="8"/>
    </row>
    <row r="385" ht="15.75" customHeight="1">
      <c r="K385" s="8"/>
      <c r="L385" s="8"/>
      <c r="O385" s="8"/>
      <c r="Q385" s="8"/>
      <c r="R385" s="8"/>
      <c r="S385" s="8"/>
    </row>
    <row r="386" ht="15.75" customHeight="1">
      <c r="K386" s="8"/>
      <c r="L386" s="8"/>
      <c r="O386" s="8"/>
      <c r="Q386" s="8"/>
      <c r="R386" s="8"/>
      <c r="S386" s="8"/>
    </row>
    <row r="387" ht="15.75" customHeight="1">
      <c r="K387" s="8"/>
      <c r="L387" s="8"/>
      <c r="O387" s="8"/>
      <c r="Q387" s="8"/>
      <c r="R387" s="8"/>
      <c r="S387" s="8"/>
    </row>
    <row r="388" ht="15.75" customHeight="1">
      <c r="K388" s="8"/>
      <c r="L388" s="8"/>
      <c r="O388" s="8"/>
      <c r="Q388" s="8"/>
      <c r="R388" s="8"/>
      <c r="S388" s="8"/>
    </row>
    <row r="389" ht="15.75" customHeight="1">
      <c r="K389" s="8"/>
      <c r="L389" s="8"/>
      <c r="O389" s="8"/>
      <c r="Q389" s="8"/>
      <c r="R389" s="8"/>
      <c r="S389" s="8"/>
    </row>
    <row r="390" ht="15.75" customHeight="1">
      <c r="K390" s="8"/>
      <c r="L390" s="8"/>
      <c r="O390" s="8"/>
      <c r="Q390" s="8"/>
      <c r="R390" s="8"/>
      <c r="S390" s="8"/>
    </row>
    <row r="391" ht="15.75" customHeight="1">
      <c r="K391" s="8"/>
      <c r="L391" s="8"/>
      <c r="O391" s="8"/>
      <c r="Q391" s="8"/>
      <c r="R391" s="8"/>
      <c r="S391" s="8"/>
    </row>
    <row r="392" ht="15.75" customHeight="1">
      <c r="K392" s="8"/>
      <c r="L392" s="8"/>
      <c r="O392" s="8"/>
      <c r="Q392" s="8"/>
      <c r="R392" s="8"/>
      <c r="S392" s="8"/>
    </row>
    <row r="393" ht="15.75" customHeight="1">
      <c r="K393" s="8"/>
      <c r="L393" s="8"/>
      <c r="O393" s="8"/>
      <c r="Q393" s="8"/>
      <c r="R393" s="8"/>
      <c r="S393" s="8"/>
    </row>
    <row r="394" ht="15.75" customHeight="1">
      <c r="K394" s="8"/>
      <c r="L394" s="8"/>
      <c r="O394" s="8"/>
      <c r="Q394" s="8"/>
      <c r="R394" s="8"/>
      <c r="S394" s="8"/>
    </row>
    <row r="395" ht="15.75" customHeight="1">
      <c r="K395" s="8"/>
      <c r="L395" s="8"/>
      <c r="O395" s="8"/>
      <c r="Q395" s="8"/>
      <c r="R395" s="8"/>
      <c r="S395" s="8"/>
    </row>
    <row r="396" ht="15.75" customHeight="1">
      <c r="K396" s="8"/>
      <c r="L396" s="8"/>
      <c r="O396" s="8"/>
      <c r="Q396" s="8"/>
      <c r="R396" s="8"/>
      <c r="S396" s="8"/>
    </row>
    <row r="397" ht="15.75" customHeight="1">
      <c r="K397" s="8"/>
      <c r="L397" s="8"/>
      <c r="O397" s="8"/>
      <c r="Q397" s="8"/>
      <c r="R397" s="8"/>
      <c r="S397" s="8"/>
    </row>
    <row r="398" ht="15.75" customHeight="1">
      <c r="K398" s="8"/>
      <c r="L398" s="8"/>
      <c r="O398" s="8"/>
      <c r="Q398" s="8"/>
      <c r="R398" s="8"/>
      <c r="S398" s="8"/>
    </row>
    <row r="399" ht="15.75" customHeight="1">
      <c r="K399" s="8"/>
      <c r="L399" s="8"/>
      <c r="O399" s="8"/>
      <c r="Q399" s="8"/>
      <c r="R399" s="8"/>
      <c r="S399" s="8"/>
    </row>
    <row r="400" ht="15.75" customHeight="1">
      <c r="K400" s="8"/>
      <c r="L400" s="8"/>
      <c r="O400" s="8"/>
      <c r="Q400" s="8"/>
      <c r="R400" s="8"/>
      <c r="S400" s="8"/>
    </row>
    <row r="401" ht="15.75" customHeight="1">
      <c r="K401" s="8"/>
      <c r="L401" s="8"/>
      <c r="O401" s="8"/>
      <c r="Q401" s="8"/>
      <c r="R401" s="8"/>
      <c r="S401" s="8"/>
    </row>
    <row r="402" ht="15.75" customHeight="1">
      <c r="K402" s="8"/>
      <c r="L402" s="8"/>
      <c r="O402" s="8"/>
      <c r="Q402" s="8"/>
      <c r="R402" s="8"/>
      <c r="S402" s="8"/>
    </row>
    <row r="403" ht="15.75" customHeight="1">
      <c r="K403" s="8"/>
      <c r="L403" s="8"/>
      <c r="O403" s="8"/>
      <c r="Q403" s="8"/>
      <c r="R403" s="8"/>
      <c r="S403" s="8"/>
    </row>
    <row r="404" ht="15.75" customHeight="1">
      <c r="K404" s="8"/>
      <c r="L404" s="8"/>
      <c r="O404" s="8"/>
      <c r="Q404" s="8"/>
      <c r="R404" s="8"/>
      <c r="S404" s="8"/>
    </row>
    <row r="405" ht="15.75" customHeight="1">
      <c r="K405" s="8"/>
      <c r="L405" s="8"/>
      <c r="O405" s="8"/>
      <c r="Q405" s="8"/>
      <c r="R405" s="8"/>
      <c r="S405" s="8"/>
    </row>
    <row r="406" ht="15.75" customHeight="1">
      <c r="K406" s="8"/>
      <c r="L406" s="8"/>
      <c r="O406" s="8"/>
      <c r="Q406" s="8"/>
      <c r="R406" s="8"/>
      <c r="S406" s="8"/>
    </row>
    <row r="407" ht="15.75" customHeight="1">
      <c r="K407" s="8"/>
      <c r="L407" s="8"/>
      <c r="O407" s="8"/>
      <c r="Q407" s="8"/>
      <c r="R407" s="8"/>
      <c r="S407" s="8"/>
    </row>
    <row r="408" ht="15.75" customHeight="1">
      <c r="K408" s="8"/>
      <c r="L408" s="8"/>
      <c r="O408" s="8"/>
      <c r="Q408" s="8"/>
      <c r="R408" s="8"/>
      <c r="S408" s="8"/>
    </row>
    <row r="409" ht="15.75" customHeight="1">
      <c r="K409" s="8"/>
      <c r="L409" s="8"/>
      <c r="O409" s="8"/>
      <c r="Q409" s="8"/>
      <c r="R409" s="8"/>
      <c r="S409" s="8"/>
    </row>
    <row r="410" ht="15.75" customHeight="1">
      <c r="K410" s="8"/>
      <c r="L410" s="8"/>
      <c r="O410" s="8"/>
      <c r="Q410" s="8"/>
      <c r="R410" s="8"/>
      <c r="S410" s="8"/>
    </row>
    <row r="411" ht="15.75" customHeight="1">
      <c r="K411" s="8"/>
      <c r="L411" s="8"/>
      <c r="O411" s="8"/>
      <c r="Q411" s="8"/>
      <c r="R411" s="8"/>
      <c r="S411" s="8"/>
    </row>
    <row r="412" ht="15.75" customHeight="1">
      <c r="K412" s="8"/>
      <c r="L412" s="8"/>
      <c r="O412" s="8"/>
      <c r="Q412" s="8"/>
      <c r="R412" s="8"/>
      <c r="S412" s="8"/>
    </row>
    <row r="413" ht="15.75" customHeight="1">
      <c r="K413" s="8"/>
      <c r="L413" s="8"/>
      <c r="O413" s="8"/>
      <c r="Q413" s="8"/>
      <c r="R413" s="8"/>
      <c r="S413" s="8"/>
    </row>
    <row r="414" ht="15.75" customHeight="1">
      <c r="K414" s="8"/>
      <c r="L414" s="8"/>
      <c r="O414" s="8"/>
      <c r="Q414" s="8"/>
      <c r="R414" s="8"/>
      <c r="S414" s="8"/>
    </row>
    <row r="415" ht="15.75" customHeight="1">
      <c r="K415" s="8"/>
      <c r="L415" s="8"/>
      <c r="O415" s="8"/>
      <c r="Q415" s="8"/>
      <c r="R415" s="8"/>
      <c r="S415" s="8"/>
    </row>
    <row r="416" ht="15.75" customHeight="1">
      <c r="K416" s="8"/>
      <c r="L416" s="8"/>
      <c r="O416" s="8"/>
      <c r="Q416" s="8"/>
      <c r="R416" s="8"/>
      <c r="S416" s="8"/>
    </row>
    <row r="417" ht="15.75" customHeight="1">
      <c r="K417" s="8"/>
      <c r="L417" s="8"/>
      <c r="O417" s="8"/>
      <c r="Q417" s="8"/>
      <c r="R417" s="8"/>
      <c r="S417" s="8"/>
    </row>
    <row r="418" ht="15.75" customHeight="1">
      <c r="K418" s="8"/>
      <c r="L418" s="8"/>
      <c r="O418" s="8"/>
      <c r="Q418" s="8"/>
      <c r="R418" s="8"/>
      <c r="S418" s="8"/>
    </row>
    <row r="419" ht="15.75" customHeight="1">
      <c r="K419" s="8"/>
      <c r="L419" s="8"/>
      <c r="O419" s="8"/>
      <c r="Q419" s="8"/>
      <c r="R419" s="8"/>
      <c r="S419" s="8"/>
    </row>
    <row r="420" ht="15.75" customHeight="1">
      <c r="K420" s="8"/>
      <c r="L420" s="8"/>
      <c r="O420" s="8"/>
      <c r="Q420" s="8"/>
      <c r="R420" s="8"/>
      <c r="S420" s="8"/>
    </row>
    <row r="421" ht="15.75" customHeight="1">
      <c r="K421" s="8"/>
      <c r="L421" s="8"/>
      <c r="O421" s="8"/>
      <c r="Q421" s="8"/>
      <c r="R421" s="8"/>
      <c r="S421" s="8"/>
    </row>
    <row r="422" ht="15.75" customHeight="1">
      <c r="K422" s="8"/>
      <c r="L422" s="8"/>
      <c r="O422" s="8"/>
      <c r="Q422" s="8"/>
      <c r="R422" s="8"/>
      <c r="S422" s="8"/>
    </row>
    <row r="423" ht="15.75" customHeight="1">
      <c r="K423" s="8"/>
      <c r="L423" s="8"/>
      <c r="O423" s="8"/>
      <c r="Q423" s="8"/>
      <c r="R423" s="8"/>
      <c r="S423" s="8"/>
    </row>
    <row r="424" ht="15.75" customHeight="1">
      <c r="K424" s="8"/>
      <c r="L424" s="8"/>
      <c r="O424" s="8"/>
      <c r="Q424" s="8"/>
      <c r="R424" s="8"/>
      <c r="S424" s="8"/>
    </row>
    <row r="425" ht="15.75" customHeight="1">
      <c r="K425" s="8"/>
      <c r="L425" s="8"/>
      <c r="O425" s="8"/>
      <c r="Q425" s="8"/>
      <c r="R425" s="8"/>
      <c r="S425" s="8"/>
    </row>
    <row r="426" ht="15.75" customHeight="1">
      <c r="K426" s="8"/>
      <c r="L426" s="8"/>
      <c r="O426" s="8"/>
      <c r="Q426" s="8"/>
      <c r="R426" s="8"/>
      <c r="S426" s="8"/>
    </row>
    <row r="427" ht="15.75" customHeight="1">
      <c r="K427" s="8"/>
      <c r="L427" s="8"/>
      <c r="O427" s="8"/>
      <c r="Q427" s="8"/>
      <c r="R427" s="8"/>
      <c r="S427" s="8"/>
    </row>
    <row r="428" ht="15.75" customHeight="1">
      <c r="K428" s="8"/>
      <c r="L428" s="8"/>
      <c r="O428" s="8"/>
      <c r="Q428" s="8"/>
      <c r="R428" s="8"/>
      <c r="S428" s="8"/>
    </row>
    <row r="429" ht="15.75" customHeight="1">
      <c r="K429" s="8"/>
      <c r="L429" s="8"/>
      <c r="O429" s="8"/>
      <c r="Q429" s="8"/>
      <c r="R429" s="8"/>
      <c r="S429" s="8"/>
    </row>
    <row r="430" ht="15.75" customHeight="1">
      <c r="K430" s="8"/>
      <c r="L430" s="8"/>
      <c r="O430" s="8"/>
      <c r="Q430" s="8"/>
      <c r="R430" s="8"/>
      <c r="S430" s="8"/>
    </row>
    <row r="431" ht="15.75" customHeight="1">
      <c r="K431" s="8"/>
      <c r="L431" s="8"/>
      <c r="O431" s="8"/>
      <c r="Q431" s="8"/>
      <c r="R431" s="8"/>
      <c r="S431" s="8"/>
    </row>
    <row r="432" ht="15.75" customHeight="1">
      <c r="K432" s="8"/>
      <c r="L432" s="8"/>
      <c r="O432" s="8"/>
      <c r="Q432" s="8"/>
      <c r="R432" s="8"/>
      <c r="S432" s="8"/>
    </row>
    <row r="433" ht="15.75" customHeight="1">
      <c r="K433" s="8"/>
      <c r="L433" s="8"/>
      <c r="O433" s="8"/>
      <c r="Q433" s="8"/>
      <c r="R433" s="8"/>
      <c r="S433" s="8"/>
    </row>
    <row r="434" ht="15.75" customHeight="1">
      <c r="K434" s="8"/>
      <c r="L434" s="8"/>
      <c r="O434" s="8"/>
      <c r="Q434" s="8"/>
      <c r="R434" s="8"/>
      <c r="S434" s="8"/>
    </row>
    <row r="435" ht="15.75" customHeight="1">
      <c r="K435" s="8"/>
      <c r="L435" s="8"/>
      <c r="O435" s="8"/>
      <c r="Q435" s="8"/>
      <c r="R435" s="8"/>
      <c r="S435" s="8"/>
    </row>
    <row r="436" ht="15.75" customHeight="1">
      <c r="K436" s="8"/>
      <c r="L436" s="8"/>
      <c r="O436" s="8"/>
      <c r="Q436" s="8"/>
      <c r="R436" s="8"/>
      <c r="S436" s="8"/>
    </row>
    <row r="437" ht="15.75" customHeight="1">
      <c r="K437" s="8"/>
      <c r="L437" s="8"/>
      <c r="O437" s="8"/>
      <c r="Q437" s="8"/>
      <c r="R437" s="8"/>
      <c r="S437" s="8"/>
    </row>
    <row r="438" ht="15.75" customHeight="1">
      <c r="K438" s="8"/>
      <c r="L438" s="8"/>
      <c r="O438" s="8"/>
      <c r="Q438" s="8"/>
      <c r="R438" s="8"/>
      <c r="S438" s="8"/>
    </row>
    <row r="439" ht="15.75" customHeight="1">
      <c r="K439" s="8"/>
      <c r="L439" s="8"/>
      <c r="O439" s="8"/>
      <c r="Q439" s="8"/>
      <c r="R439" s="8"/>
      <c r="S439" s="8"/>
    </row>
    <row r="440" ht="15.75" customHeight="1">
      <c r="K440" s="8"/>
      <c r="L440" s="8"/>
      <c r="O440" s="8"/>
      <c r="Q440" s="8"/>
      <c r="R440" s="8"/>
      <c r="S440" s="8"/>
    </row>
    <row r="441" ht="15.75" customHeight="1">
      <c r="K441" s="8"/>
      <c r="L441" s="8"/>
      <c r="O441" s="8"/>
      <c r="Q441" s="8"/>
      <c r="R441" s="8"/>
      <c r="S441" s="8"/>
    </row>
    <row r="442" ht="15.75" customHeight="1">
      <c r="K442" s="8"/>
      <c r="L442" s="8"/>
      <c r="O442" s="8"/>
      <c r="Q442" s="8"/>
      <c r="R442" s="8"/>
      <c r="S442" s="8"/>
    </row>
    <row r="443" ht="15.75" customHeight="1">
      <c r="K443" s="8"/>
      <c r="L443" s="8"/>
      <c r="O443" s="8"/>
      <c r="Q443" s="8"/>
      <c r="R443" s="8"/>
      <c r="S443" s="8"/>
    </row>
    <row r="444" ht="15.75" customHeight="1">
      <c r="K444" s="8"/>
      <c r="L444" s="8"/>
      <c r="O444" s="8"/>
      <c r="Q444" s="8"/>
      <c r="R444" s="8"/>
      <c r="S444" s="8"/>
    </row>
    <row r="445" ht="15.75" customHeight="1">
      <c r="K445" s="8"/>
      <c r="L445" s="8"/>
      <c r="O445" s="8"/>
      <c r="Q445" s="8"/>
      <c r="R445" s="8"/>
      <c r="S445" s="8"/>
    </row>
    <row r="446" ht="15.75" customHeight="1">
      <c r="K446" s="8"/>
      <c r="L446" s="8"/>
      <c r="O446" s="8"/>
      <c r="Q446" s="8"/>
      <c r="R446" s="8"/>
      <c r="S446" s="8"/>
    </row>
    <row r="447" ht="15.75" customHeight="1">
      <c r="K447" s="8"/>
      <c r="L447" s="8"/>
      <c r="O447" s="8"/>
      <c r="Q447" s="8"/>
      <c r="R447" s="8"/>
      <c r="S447" s="8"/>
    </row>
    <row r="448" ht="15.75" customHeight="1">
      <c r="K448" s="8"/>
      <c r="L448" s="8"/>
      <c r="O448" s="8"/>
      <c r="Q448" s="8"/>
      <c r="R448" s="8"/>
      <c r="S448" s="8"/>
    </row>
    <row r="449" ht="15.75" customHeight="1">
      <c r="K449" s="8"/>
      <c r="L449" s="8"/>
      <c r="O449" s="8"/>
      <c r="Q449" s="8"/>
      <c r="R449" s="8"/>
      <c r="S449" s="8"/>
    </row>
    <row r="450" ht="15.75" customHeight="1">
      <c r="K450" s="8"/>
      <c r="L450" s="8"/>
      <c r="O450" s="8"/>
      <c r="Q450" s="8"/>
      <c r="R450" s="8"/>
      <c r="S450" s="8"/>
    </row>
    <row r="451" ht="15.75" customHeight="1">
      <c r="K451" s="8"/>
      <c r="L451" s="8"/>
      <c r="O451" s="8"/>
      <c r="Q451" s="8"/>
      <c r="R451" s="8"/>
      <c r="S451" s="8"/>
    </row>
    <row r="452" ht="15.75" customHeight="1">
      <c r="K452" s="8"/>
      <c r="L452" s="8"/>
      <c r="O452" s="8"/>
      <c r="Q452" s="8"/>
      <c r="R452" s="8"/>
      <c r="S452" s="8"/>
    </row>
    <row r="453" ht="15.75" customHeight="1">
      <c r="K453" s="8"/>
      <c r="L453" s="8"/>
      <c r="O453" s="8"/>
      <c r="Q453" s="8"/>
      <c r="R453" s="8"/>
      <c r="S453" s="8"/>
    </row>
    <row r="454" ht="15.75" customHeight="1">
      <c r="K454" s="8"/>
      <c r="L454" s="8"/>
      <c r="O454" s="8"/>
      <c r="Q454" s="8"/>
      <c r="R454" s="8"/>
      <c r="S454" s="8"/>
    </row>
    <row r="455" ht="15.75" customHeight="1">
      <c r="K455" s="8"/>
      <c r="L455" s="8"/>
      <c r="O455" s="8"/>
      <c r="Q455" s="8"/>
      <c r="R455" s="8"/>
      <c r="S455" s="8"/>
    </row>
    <row r="456" ht="15.75" customHeight="1">
      <c r="K456" s="8"/>
      <c r="L456" s="8"/>
      <c r="O456" s="8"/>
      <c r="Q456" s="8"/>
      <c r="R456" s="8"/>
      <c r="S456" s="8"/>
    </row>
    <row r="457" ht="15.75" customHeight="1">
      <c r="K457" s="8"/>
      <c r="L457" s="8"/>
      <c r="O457" s="8"/>
      <c r="Q457" s="8"/>
      <c r="R457" s="8"/>
      <c r="S457" s="8"/>
    </row>
    <row r="458" ht="15.75" customHeight="1">
      <c r="K458" s="8"/>
      <c r="L458" s="8"/>
      <c r="O458" s="8"/>
      <c r="Q458" s="8"/>
      <c r="R458" s="8"/>
      <c r="S458" s="8"/>
    </row>
    <row r="459" ht="15.75" customHeight="1">
      <c r="K459" s="8"/>
      <c r="L459" s="8"/>
      <c r="O459" s="8"/>
      <c r="Q459" s="8"/>
      <c r="R459" s="8"/>
      <c r="S459" s="8"/>
    </row>
    <row r="460" ht="15.75" customHeight="1">
      <c r="K460" s="8"/>
      <c r="L460" s="8"/>
      <c r="O460" s="8"/>
      <c r="Q460" s="8"/>
      <c r="R460" s="8"/>
      <c r="S460" s="8"/>
    </row>
    <row r="461" ht="15.75" customHeight="1">
      <c r="K461" s="8"/>
      <c r="L461" s="8"/>
      <c r="O461" s="8"/>
      <c r="Q461" s="8"/>
      <c r="R461" s="8"/>
      <c r="S461" s="8"/>
    </row>
    <row r="462" ht="15.75" customHeight="1">
      <c r="K462" s="8"/>
      <c r="L462" s="8"/>
      <c r="O462" s="8"/>
      <c r="Q462" s="8"/>
      <c r="R462" s="8"/>
      <c r="S462" s="8"/>
    </row>
    <row r="463" ht="15.75" customHeight="1">
      <c r="K463" s="8"/>
      <c r="L463" s="8"/>
      <c r="O463" s="8"/>
      <c r="Q463" s="8"/>
      <c r="R463" s="8"/>
      <c r="S463" s="8"/>
    </row>
    <row r="464" ht="15.75" customHeight="1">
      <c r="K464" s="8"/>
      <c r="L464" s="8"/>
      <c r="O464" s="8"/>
      <c r="Q464" s="8"/>
      <c r="R464" s="8"/>
      <c r="S464" s="8"/>
    </row>
    <row r="465" ht="15.75" customHeight="1">
      <c r="K465" s="8"/>
      <c r="L465" s="8"/>
      <c r="O465" s="8"/>
      <c r="Q465" s="8"/>
      <c r="R465" s="8"/>
      <c r="S465" s="8"/>
    </row>
    <row r="466" ht="15.75" customHeight="1">
      <c r="K466" s="8"/>
      <c r="L466" s="8"/>
      <c r="O466" s="8"/>
      <c r="Q466" s="8"/>
      <c r="R466" s="8"/>
      <c r="S466" s="8"/>
    </row>
    <row r="467" ht="15.75" customHeight="1">
      <c r="K467" s="8"/>
      <c r="L467" s="8"/>
      <c r="O467" s="8"/>
      <c r="Q467" s="8"/>
      <c r="R467" s="8"/>
      <c r="S467" s="8"/>
    </row>
    <row r="468" ht="15.75" customHeight="1">
      <c r="K468" s="8"/>
      <c r="L468" s="8"/>
      <c r="O468" s="8"/>
      <c r="Q468" s="8"/>
      <c r="R468" s="8"/>
      <c r="S468" s="8"/>
    </row>
    <row r="469" ht="15.75" customHeight="1">
      <c r="K469" s="8"/>
      <c r="L469" s="8"/>
      <c r="O469" s="8"/>
      <c r="Q469" s="8"/>
      <c r="R469" s="8"/>
      <c r="S469" s="8"/>
    </row>
    <row r="470" ht="15.75" customHeight="1">
      <c r="K470" s="8"/>
      <c r="L470" s="8"/>
      <c r="O470" s="8"/>
      <c r="Q470" s="8"/>
      <c r="R470" s="8"/>
      <c r="S470" s="8"/>
    </row>
    <row r="471" ht="15.75" customHeight="1">
      <c r="K471" s="8"/>
      <c r="L471" s="8"/>
      <c r="O471" s="8"/>
      <c r="Q471" s="8"/>
      <c r="R471" s="8"/>
      <c r="S471" s="8"/>
    </row>
    <row r="472" ht="15.75" customHeight="1">
      <c r="K472" s="8"/>
      <c r="L472" s="8"/>
      <c r="O472" s="8"/>
      <c r="Q472" s="8"/>
      <c r="R472" s="8"/>
      <c r="S472" s="8"/>
    </row>
    <row r="473" ht="15.75" customHeight="1">
      <c r="K473" s="8"/>
      <c r="L473" s="8"/>
      <c r="O473" s="8"/>
      <c r="Q473" s="8"/>
      <c r="R473" s="8"/>
      <c r="S473" s="8"/>
    </row>
    <row r="474" ht="15.75" customHeight="1">
      <c r="K474" s="8"/>
      <c r="L474" s="8"/>
      <c r="O474" s="8"/>
      <c r="Q474" s="8"/>
      <c r="R474" s="8"/>
      <c r="S474" s="8"/>
    </row>
    <row r="475" ht="15.75" customHeight="1">
      <c r="K475" s="8"/>
      <c r="L475" s="8"/>
      <c r="O475" s="8"/>
      <c r="Q475" s="8"/>
      <c r="R475" s="8"/>
      <c r="S475" s="8"/>
    </row>
    <row r="476" ht="15.75" customHeight="1">
      <c r="K476" s="8"/>
      <c r="L476" s="8"/>
      <c r="O476" s="8"/>
      <c r="Q476" s="8"/>
      <c r="R476" s="8"/>
      <c r="S476" s="8"/>
    </row>
    <row r="477" ht="15.75" customHeight="1">
      <c r="K477" s="8"/>
      <c r="L477" s="8"/>
      <c r="O477" s="8"/>
      <c r="Q477" s="8"/>
      <c r="R477" s="8"/>
      <c r="S477" s="8"/>
    </row>
    <row r="478" ht="15.75" customHeight="1">
      <c r="K478" s="8"/>
      <c r="L478" s="8"/>
      <c r="O478" s="8"/>
      <c r="Q478" s="8"/>
      <c r="R478" s="8"/>
      <c r="S478" s="8"/>
    </row>
    <row r="479" ht="15.75" customHeight="1">
      <c r="K479" s="8"/>
      <c r="L479" s="8"/>
      <c r="O479" s="8"/>
      <c r="Q479" s="8"/>
      <c r="R479" s="8"/>
      <c r="S479" s="8"/>
    </row>
    <row r="480" ht="15.75" customHeight="1">
      <c r="K480" s="8"/>
      <c r="L480" s="8"/>
      <c r="O480" s="8"/>
      <c r="Q480" s="8"/>
      <c r="R480" s="8"/>
      <c r="S480" s="8"/>
    </row>
    <row r="481" ht="15.75" customHeight="1">
      <c r="K481" s="8"/>
      <c r="L481" s="8"/>
      <c r="O481" s="8"/>
      <c r="Q481" s="8"/>
      <c r="R481" s="8"/>
      <c r="S481" s="8"/>
    </row>
    <row r="482" ht="15.75" customHeight="1">
      <c r="K482" s="8"/>
      <c r="L482" s="8"/>
      <c r="O482" s="8"/>
      <c r="Q482" s="8"/>
      <c r="R482" s="8"/>
      <c r="S482" s="8"/>
    </row>
    <row r="483" ht="15.75" customHeight="1">
      <c r="K483" s="8"/>
      <c r="L483" s="8"/>
      <c r="O483" s="8"/>
      <c r="Q483" s="8"/>
      <c r="R483" s="8"/>
      <c r="S483" s="8"/>
    </row>
    <row r="484" ht="15.75" customHeight="1">
      <c r="K484" s="8"/>
      <c r="L484" s="8"/>
      <c r="O484" s="8"/>
      <c r="Q484" s="8"/>
      <c r="R484" s="8"/>
      <c r="S484" s="8"/>
    </row>
    <row r="485" ht="15.75" customHeight="1">
      <c r="K485" s="8"/>
      <c r="L485" s="8"/>
      <c r="O485" s="8"/>
      <c r="Q485" s="8"/>
      <c r="R485" s="8"/>
      <c r="S485" s="8"/>
    </row>
    <row r="486" ht="15.75" customHeight="1">
      <c r="K486" s="8"/>
      <c r="L486" s="8"/>
      <c r="O486" s="8"/>
      <c r="Q486" s="8"/>
      <c r="R486" s="8"/>
      <c r="S486" s="8"/>
    </row>
    <row r="487" ht="15.75" customHeight="1">
      <c r="K487" s="8"/>
      <c r="L487" s="8"/>
      <c r="O487" s="8"/>
      <c r="Q487" s="8"/>
      <c r="R487" s="8"/>
      <c r="S487" s="8"/>
    </row>
    <row r="488" ht="15.75" customHeight="1">
      <c r="K488" s="8"/>
      <c r="L488" s="8"/>
      <c r="O488" s="8"/>
      <c r="Q488" s="8"/>
      <c r="R488" s="8"/>
      <c r="S488" s="8"/>
    </row>
    <row r="489" ht="15.75" customHeight="1">
      <c r="K489" s="8"/>
      <c r="L489" s="8"/>
      <c r="O489" s="8"/>
      <c r="Q489" s="8"/>
      <c r="R489" s="8"/>
      <c r="S489" s="8"/>
    </row>
    <row r="490" ht="15.75" customHeight="1">
      <c r="K490" s="8"/>
      <c r="L490" s="8"/>
      <c r="O490" s="8"/>
      <c r="Q490" s="8"/>
      <c r="R490" s="8"/>
      <c r="S490" s="8"/>
    </row>
    <row r="491" ht="15.75" customHeight="1">
      <c r="K491" s="8"/>
      <c r="L491" s="8"/>
      <c r="O491" s="8"/>
      <c r="Q491" s="8"/>
      <c r="R491" s="8"/>
      <c r="S491" s="8"/>
    </row>
    <row r="492" ht="15.75" customHeight="1">
      <c r="K492" s="8"/>
      <c r="L492" s="8"/>
      <c r="O492" s="8"/>
      <c r="Q492" s="8"/>
      <c r="R492" s="8"/>
      <c r="S492" s="8"/>
    </row>
    <row r="493" ht="15.75" customHeight="1">
      <c r="K493" s="8"/>
      <c r="L493" s="8"/>
      <c r="O493" s="8"/>
      <c r="Q493" s="8"/>
      <c r="R493" s="8"/>
      <c r="S493" s="8"/>
    </row>
    <row r="494" ht="15.75" customHeight="1">
      <c r="K494" s="8"/>
      <c r="L494" s="8"/>
      <c r="O494" s="8"/>
      <c r="Q494" s="8"/>
      <c r="R494" s="8"/>
      <c r="S494" s="8"/>
    </row>
    <row r="495" ht="15.75" customHeight="1">
      <c r="K495" s="8"/>
      <c r="L495" s="8"/>
      <c r="O495" s="8"/>
      <c r="Q495" s="8"/>
      <c r="R495" s="8"/>
      <c r="S495" s="8"/>
    </row>
    <row r="496" ht="15.75" customHeight="1">
      <c r="K496" s="8"/>
      <c r="L496" s="8"/>
      <c r="O496" s="8"/>
      <c r="Q496" s="8"/>
      <c r="R496" s="8"/>
      <c r="S496" s="8"/>
    </row>
    <row r="497" ht="15.75" customHeight="1">
      <c r="K497" s="8"/>
      <c r="L497" s="8"/>
      <c r="O497" s="8"/>
      <c r="Q497" s="8"/>
      <c r="R497" s="8"/>
      <c r="S497" s="8"/>
    </row>
    <row r="498" ht="15.75" customHeight="1">
      <c r="K498" s="8"/>
      <c r="L498" s="8"/>
      <c r="O498" s="8"/>
      <c r="Q498" s="8"/>
      <c r="R498" s="8"/>
      <c r="S498" s="8"/>
    </row>
    <row r="499" ht="15.75" customHeight="1">
      <c r="K499" s="8"/>
      <c r="L499" s="8"/>
      <c r="O499" s="8"/>
      <c r="Q499" s="8"/>
      <c r="R499" s="8"/>
      <c r="S499" s="8"/>
    </row>
    <row r="500" ht="15.75" customHeight="1">
      <c r="K500" s="8"/>
      <c r="L500" s="8"/>
      <c r="O500" s="8"/>
      <c r="Q500" s="8"/>
      <c r="R500" s="8"/>
      <c r="S500" s="8"/>
    </row>
    <row r="501" ht="15.75" customHeight="1">
      <c r="K501" s="8"/>
      <c r="L501" s="8"/>
      <c r="O501" s="8"/>
      <c r="Q501" s="8"/>
      <c r="R501" s="8"/>
      <c r="S501" s="8"/>
    </row>
    <row r="502" ht="15.75" customHeight="1">
      <c r="K502" s="8"/>
      <c r="L502" s="8"/>
      <c r="O502" s="8"/>
      <c r="Q502" s="8"/>
      <c r="R502" s="8"/>
      <c r="S502" s="8"/>
    </row>
    <row r="503" ht="15.75" customHeight="1">
      <c r="K503" s="8"/>
      <c r="L503" s="8"/>
      <c r="O503" s="8"/>
      <c r="Q503" s="8"/>
      <c r="R503" s="8"/>
      <c r="S503" s="8"/>
    </row>
    <row r="504" ht="15.75" customHeight="1">
      <c r="K504" s="8"/>
      <c r="L504" s="8"/>
      <c r="O504" s="8"/>
      <c r="Q504" s="8"/>
      <c r="R504" s="8"/>
      <c r="S504" s="8"/>
    </row>
    <row r="505" ht="15.75" customHeight="1">
      <c r="K505" s="8"/>
      <c r="L505" s="8"/>
      <c r="O505" s="8"/>
      <c r="Q505" s="8"/>
      <c r="R505" s="8"/>
      <c r="S505" s="8"/>
    </row>
    <row r="506" ht="15.75" customHeight="1">
      <c r="K506" s="8"/>
      <c r="L506" s="8"/>
      <c r="O506" s="8"/>
      <c r="Q506" s="8"/>
      <c r="R506" s="8"/>
      <c r="S506" s="8"/>
    </row>
    <row r="507" ht="15.75" customHeight="1">
      <c r="K507" s="8"/>
      <c r="L507" s="8"/>
      <c r="O507" s="8"/>
      <c r="Q507" s="8"/>
      <c r="R507" s="8"/>
      <c r="S507" s="8"/>
    </row>
    <row r="508" ht="15.75" customHeight="1">
      <c r="K508" s="8"/>
      <c r="L508" s="8"/>
      <c r="O508" s="8"/>
      <c r="Q508" s="8"/>
      <c r="R508" s="8"/>
      <c r="S508" s="8"/>
    </row>
    <row r="509" ht="15.75" customHeight="1">
      <c r="K509" s="8"/>
      <c r="L509" s="8"/>
      <c r="O509" s="8"/>
      <c r="Q509" s="8"/>
      <c r="R509" s="8"/>
      <c r="S509" s="8"/>
    </row>
    <row r="510" ht="15.75" customHeight="1">
      <c r="K510" s="8"/>
      <c r="L510" s="8"/>
      <c r="O510" s="8"/>
      <c r="Q510" s="8"/>
      <c r="R510" s="8"/>
      <c r="S510" s="8"/>
    </row>
    <row r="511" ht="15.75" customHeight="1">
      <c r="K511" s="8"/>
      <c r="L511" s="8"/>
      <c r="O511" s="8"/>
      <c r="Q511" s="8"/>
      <c r="R511" s="8"/>
      <c r="S511" s="8"/>
    </row>
    <row r="512" ht="15.75" customHeight="1">
      <c r="K512" s="8"/>
      <c r="L512" s="8"/>
      <c r="O512" s="8"/>
      <c r="Q512" s="8"/>
      <c r="R512" s="8"/>
      <c r="S512" s="8"/>
    </row>
    <row r="513" ht="15.75" customHeight="1">
      <c r="K513" s="8"/>
      <c r="L513" s="8"/>
      <c r="O513" s="8"/>
      <c r="Q513" s="8"/>
      <c r="R513" s="8"/>
      <c r="S513" s="8"/>
    </row>
    <row r="514" ht="15.75" customHeight="1">
      <c r="K514" s="8"/>
      <c r="L514" s="8"/>
      <c r="O514" s="8"/>
      <c r="Q514" s="8"/>
      <c r="R514" s="8"/>
      <c r="S514" s="8"/>
    </row>
    <row r="515" ht="15.75" customHeight="1">
      <c r="K515" s="8"/>
      <c r="L515" s="8"/>
      <c r="O515" s="8"/>
      <c r="Q515" s="8"/>
      <c r="R515" s="8"/>
      <c r="S515" s="8"/>
    </row>
    <row r="516" ht="15.75" customHeight="1">
      <c r="K516" s="8"/>
      <c r="L516" s="8"/>
      <c r="O516" s="8"/>
      <c r="Q516" s="8"/>
      <c r="R516" s="8"/>
      <c r="S516" s="8"/>
    </row>
    <row r="517" ht="15.75" customHeight="1">
      <c r="K517" s="8"/>
      <c r="L517" s="8"/>
      <c r="O517" s="8"/>
      <c r="Q517" s="8"/>
      <c r="R517" s="8"/>
      <c r="S517" s="8"/>
    </row>
    <row r="518" ht="15.75" customHeight="1">
      <c r="K518" s="8"/>
      <c r="L518" s="8"/>
      <c r="O518" s="8"/>
      <c r="Q518" s="8"/>
      <c r="R518" s="8"/>
      <c r="S518" s="8"/>
    </row>
    <row r="519" ht="15.75" customHeight="1">
      <c r="K519" s="8"/>
      <c r="L519" s="8"/>
      <c r="O519" s="8"/>
      <c r="Q519" s="8"/>
      <c r="R519" s="8"/>
      <c r="S519" s="8"/>
    </row>
    <row r="520" ht="15.75" customHeight="1">
      <c r="K520" s="8"/>
      <c r="L520" s="8"/>
      <c r="O520" s="8"/>
      <c r="Q520" s="8"/>
      <c r="R520" s="8"/>
      <c r="S520" s="8"/>
    </row>
    <row r="521" ht="15.75" customHeight="1">
      <c r="K521" s="8"/>
      <c r="L521" s="8"/>
      <c r="O521" s="8"/>
      <c r="Q521" s="8"/>
      <c r="R521" s="8"/>
      <c r="S521" s="8"/>
    </row>
    <row r="522" ht="15.75" customHeight="1">
      <c r="K522" s="8"/>
      <c r="L522" s="8"/>
      <c r="O522" s="8"/>
      <c r="Q522" s="8"/>
      <c r="R522" s="8"/>
      <c r="S522" s="8"/>
    </row>
    <row r="523" ht="15.75" customHeight="1">
      <c r="K523" s="8"/>
      <c r="L523" s="8"/>
      <c r="O523" s="8"/>
      <c r="Q523" s="8"/>
      <c r="R523" s="8"/>
      <c r="S523" s="8"/>
    </row>
    <row r="524" ht="15.75" customHeight="1">
      <c r="K524" s="8"/>
      <c r="L524" s="8"/>
      <c r="O524" s="8"/>
      <c r="Q524" s="8"/>
      <c r="R524" s="8"/>
      <c r="S524" s="8"/>
    </row>
    <row r="525" ht="15.75" customHeight="1">
      <c r="K525" s="8"/>
      <c r="L525" s="8"/>
      <c r="O525" s="8"/>
      <c r="Q525" s="8"/>
      <c r="R525" s="8"/>
      <c r="S525" s="8"/>
    </row>
    <row r="526" ht="15.75" customHeight="1">
      <c r="K526" s="8"/>
      <c r="L526" s="8"/>
      <c r="O526" s="8"/>
      <c r="Q526" s="8"/>
      <c r="R526" s="8"/>
      <c r="S526" s="8"/>
    </row>
    <row r="527" ht="15.75" customHeight="1">
      <c r="K527" s="8"/>
      <c r="L527" s="8"/>
      <c r="O527" s="8"/>
      <c r="Q527" s="8"/>
      <c r="R527" s="8"/>
      <c r="S527" s="8"/>
    </row>
    <row r="528" ht="15.75" customHeight="1">
      <c r="K528" s="8"/>
      <c r="L528" s="8"/>
      <c r="O528" s="8"/>
      <c r="Q528" s="8"/>
      <c r="R528" s="8"/>
      <c r="S528" s="8"/>
    </row>
    <row r="529" ht="15.75" customHeight="1">
      <c r="K529" s="8"/>
      <c r="L529" s="8"/>
      <c r="O529" s="8"/>
      <c r="Q529" s="8"/>
      <c r="R529" s="8"/>
      <c r="S529" s="8"/>
    </row>
    <row r="530" ht="15.75" customHeight="1">
      <c r="K530" s="8"/>
      <c r="L530" s="8"/>
      <c r="O530" s="8"/>
      <c r="Q530" s="8"/>
      <c r="R530" s="8"/>
      <c r="S530" s="8"/>
    </row>
    <row r="531" ht="15.75" customHeight="1">
      <c r="K531" s="8"/>
      <c r="L531" s="8"/>
      <c r="O531" s="8"/>
      <c r="Q531" s="8"/>
      <c r="R531" s="8"/>
      <c r="S531" s="8"/>
    </row>
    <row r="532" ht="15.75" customHeight="1">
      <c r="K532" s="8"/>
      <c r="L532" s="8"/>
      <c r="O532" s="8"/>
      <c r="Q532" s="8"/>
      <c r="R532" s="8"/>
      <c r="S532" s="8"/>
    </row>
    <row r="533" ht="15.75" customHeight="1">
      <c r="K533" s="8"/>
      <c r="L533" s="8"/>
      <c r="O533" s="8"/>
      <c r="Q533" s="8"/>
      <c r="R533" s="8"/>
      <c r="S533" s="8"/>
    </row>
    <row r="534" ht="15.75" customHeight="1">
      <c r="K534" s="8"/>
      <c r="L534" s="8"/>
      <c r="O534" s="8"/>
      <c r="Q534" s="8"/>
      <c r="R534" s="8"/>
      <c r="S534" s="8"/>
    </row>
    <row r="535" ht="15.75" customHeight="1">
      <c r="K535" s="8"/>
      <c r="L535" s="8"/>
      <c r="O535" s="8"/>
      <c r="Q535" s="8"/>
      <c r="R535" s="8"/>
      <c r="S535" s="8"/>
    </row>
    <row r="536" ht="15.75" customHeight="1">
      <c r="K536" s="8"/>
      <c r="L536" s="8"/>
      <c r="O536" s="8"/>
      <c r="Q536" s="8"/>
      <c r="R536" s="8"/>
      <c r="S536" s="8"/>
    </row>
    <row r="537" ht="15.75" customHeight="1">
      <c r="K537" s="8"/>
      <c r="L537" s="8"/>
      <c r="O537" s="8"/>
      <c r="Q537" s="8"/>
      <c r="R537" s="8"/>
      <c r="S537" s="8"/>
    </row>
    <row r="538" ht="15.75" customHeight="1">
      <c r="K538" s="8"/>
      <c r="L538" s="8"/>
      <c r="O538" s="8"/>
      <c r="Q538" s="8"/>
      <c r="R538" s="8"/>
      <c r="S538" s="8"/>
    </row>
    <row r="539" ht="15.75" customHeight="1">
      <c r="K539" s="8"/>
      <c r="L539" s="8"/>
      <c r="O539" s="8"/>
      <c r="Q539" s="8"/>
      <c r="R539" s="8"/>
      <c r="S539" s="8"/>
    </row>
    <row r="540" ht="15.75" customHeight="1">
      <c r="K540" s="8"/>
      <c r="L540" s="8"/>
      <c r="O540" s="8"/>
      <c r="Q540" s="8"/>
      <c r="R540" s="8"/>
      <c r="S540" s="8"/>
    </row>
    <row r="541" ht="15.75" customHeight="1">
      <c r="K541" s="8"/>
      <c r="L541" s="8"/>
      <c r="O541" s="8"/>
      <c r="Q541" s="8"/>
      <c r="R541" s="8"/>
      <c r="S541" s="8"/>
    </row>
    <row r="542" ht="15.75" customHeight="1">
      <c r="K542" s="8"/>
      <c r="L542" s="8"/>
      <c r="O542" s="8"/>
      <c r="Q542" s="8"/>
      <c r="R542" s="8"/>
      <c r="S542" s="8"/>
    </row>
    <row r="543" ht="15.75" customHeight="1">
      <c r="K543" s="8"/>
      <c r="L543" s="8"/>
      <c r="O543" s="8"/>
      <c r="Q543" s="8"/>
      <c r="R543" s="8"/>
      <c r="S543" s="8"/>
    </row>
    <row r="544" ht="15.75" customHeight="1">
      <c r="K544" s="8"/>
      <c r="L544" s="8"/>
      <c r="O544" s="8"/>
      <c r="Q544" s="8"/>
      <c r="R544" s="8"/>
      <c r="S544" s="8"/>
    </row>
    <row r="545" ht="15.75" customHeight="1">
      <c r="K545" s="8"/>
      <c r="L545" s="8"/>
      <c r="O545" s="8"/>
      <c r="Q545" s="8"/>
      <c r="R545" s="8"/>
      <c r="S545" s="8"/>
    </row>
    <row r="546" ht="15.75" customHeight="1">
      <c r="K546" s="8"/>
      <c r="L546" s="8"/>
      <c r="O546" s="8"/>
      <c r="Q546" s="8"/>
      <c r="R546" s="8"/>
      <c r="S546" s="8"/>
    </row>
    <row r="547" ht="15.75" customHeight="1">
      <c r="K547" s="8"/>
      <c r="L547" s="8"/>
      <c r="O547" s="8"/>
      <c r="Q547" s="8"/>
      <c r="R547" s="8"/>
      <c r="S547" s="8"/>
    </row>
    <row r="548" ht="15.75" customHeight="1">
      <c r="K548" s="8"/>
      <c r="L548" s="8"/>
      <c r="O548" s="8"/>
      <c r="Q548" s="8"/>
      <c r="R548" s="8"/>
      <c r="S548" s="8"/>
    </row>
    <row r="549" ht="15.75" customHeight="1">
      <c r="K549" s="8"/>
      <c r="L549" s="8"/>
      <c r="O549" s="8"/>
      <c r="Q549" s="8"/>
      <c r="R549" s="8"/>
      <c r="S549" s="8"/>
    </row>
    <row r="550" ht="15.75" customHeight="1">
      <c r="K550" s="8"/>
      <c r="L550" s="8"/>
      <c r="O550" s="8"/>
      <c r="Q550" s="8"/>
      <c r="R550" s="8"/>
      <c r="S550" s="8"/>
    </row>
    <row r="551" ht="15.75" customHeight="1">
      <c r="K551" s="8"/>
      <c r="L551" s="8"/>
      <c r="O551" s="8"/>
      <c r="Q551" s="8"/>
      <c r="R551" s="8"/>
      <c r="S551" s="8"/>
    </row>
    <row r="552" ht="15.75" customHeight="1">
      <c r="K552" s="8"/>
      <c r="L552" s="8"/>
      <c r="O552" s="8"/>
      <c r="Q552" s="8"/>
      <c r="R552" s="8"/>
      <c r="S552" s="8"/>
    </row>
    <row r="553" ht="15.75" customHeight="1">
      <c r="K553" s="8"/>
      <c r="L553" s="8"/>
      <c r="O553" s="8"/>
      <c r="Q553" s="8"/>
      <c r="R553" s="8"/>
      <c r="S553" s="8"/>
    </row>
    <row r="554" ht="15.75" customHeight="1">
      <c r="K554" s="8"/>
      <c r="L554" s="8"/>
      <c r="O554" s="8"/>
      <c r="Q554" s="8"/>
      <c r="R554" s="8"/>
      <c r="S554" s="8"/>
    </row>
    <row r="555" ht="15.75" customHeight="1">
      <c r="K555" s="8"/>
      <c r="L555" s="8"/>
      <c r="O555" s="8"/>
      <c r="Q555" s="8"/>
      <c r="R555" s="8"/>
      <c r="S555" s="8"/>
    </row>
    <row r="556" ht="15.75" customHeight="1">
      <c r="K556" s="8"/>
      <c r="L556" s="8"/>
      <c r="O556" s="8"/>
      <c r="Q556" s="8"/>
      <c r="R556" s="8"/>
      <c r="S556" s="8"/>
    </row>
    <row r="557" ht="15.75" customHeight="1">
      <c r="K557" s="8"/>
      <c r="L557" s="8"/>
      <c r="O557" s="8"/>
      <c r="Q557" s="8"/>
      <c r="R557" s="8"/>
      <c r="S557" s="8"/>
    </row>
    <row r="558" ht="15.75" customHeight="1">
      <c r="K558" s="8"/>
      <c r="L558" s="8"/>
      <c r="O558" s="8"/>
      <c r="Q558" s="8"/>
      <c r="R558" s="8"/>
      <c r="S558" s="8"/>
    </row>
    <row r="559" ht="15.75" customHeight="1">
      <c r="K559" s="8"/>
      <c r="L559" s="8"/>
      <c r="O559" s="8"/>
      <c r="Q559" s="8"/>
      <c r="R559" s="8"/>
      <c r="S559" s="8"/>
    </row>
    <row r="560" ht="15.75" customHeight="1">
      <c r="K560" s="8"/>
      <c r="L560" s="8"/>
      <c r="O560" s="8"/>
      <c r="Q560" s="8"/>
      <c r="R560" s="8"/>
      <c r="S560" s="8"/>
    </row>
    <row r="561" ht="15.75" customHeight="1">
      <c r="K561" s="8"/>
      <c r="L561" s="8"/>
      <c r="O561" s="8"/>
      <c r="Q561" s="8"/>
      <c r="R561" s="8"/>
      <c r="S561" s="8"/>
    </row>
    <row r="562" ht="15.75" customHeight="1">
      <c r="K562" s="8"/>
      <c r="L562" s="8"/>
      <c r="O562" s="8"/>
      <c r="Q562" s="8"/>
      <c r="R562" s="8"/>
      <c r="S562" s="8"/>
    </row>
    <row r="563" ht="15.75" customHeight="1">
      <c r="K563" s="8"/>
      <c r="L563" s="8"/>
      <c r="O563" s="8"/>
      <c r="Q563" s="8"/>
      <c r="R563" s="8"/>
      <c r="S563" s="8"/>
    </row>
    <row r="564" ht="15.75" customHeight="1">
      <c r="K564" s="8"/>
      <c r="L564" s="8"/>
      <c r="O564" s="8"/>
      <c r="Q564" s="8"/>
      <c r="R564" s="8"/>
      <c r="S564" s="8"/>
    </row>
    <row r="565" ht="15.75" customHeight="1">
      <c r="K565" s="8"/>
      <c r="L565" s="8"/>
      <c r="O565" s="8"/>
      <c r="Q565" s="8"/>
      <c r="R565" s="8"/>
      <c r="S565" s="8"/>
    </row>
    <row r="566" ht="15.75" customHeight="1">
      <c r="K566" s="8"/>
      <c r="L566" s="8"/>
      <c r="O566" s="8"/>
      <c r="Q566" s="8"/>
      <c r="R566" s="8"/>
      <c r="S566" s="8"/>
    </row>
    <row r="567" ht="15.75" customHeight="1">
      <c r="K567" s="8"/>
      <c r="L567" s="8"/>
      <c r="O567" s="8"/>
      <c r="Q567" s="8"/>
      <c r="R567" s="8"/>
      <c r="S567" s="8"/>
    </row>
    <row r="568" ht="15.75" customHeight="1">
      <c r="K568" s="8"/>
      <c r="L568" s="8"/>
      <c r="O568" s="8"/>
      <c r="Q568" s="8"/>
      <c r="R568" s="8"/>
      <c r="S568" s="8"/>
    </row>
    <row r="569" ht="15.75" customHeight="1">
      <c r="K569" s="8"/>
      <c r="L569" s="8"/>
      <c r="O569" s="8"/>
      <c r="Q569" s="8"/>
      <c r="R569" s="8"/>
      <c r="S569" s="8"/>
    </row>
    <row r="570" ht="15.75" customHeight="1">
      <c r="K570" s="8"/>
      <c r="L570" s="8"/>
      <c r="O570" s="8"/>
      <c r="Q570" s="8"/>
      <c r="R570" s="8"/>
      <c r="S570" s="8"/>
    </row>
    <row r="571" ht="15.75" customHeight="1">
      <c r="K571" s="8"/>
      <c r="L571" s="8"/>
      <c r="O571" s="8"/>
      <c r="Q571" s="8"/>
      <c r="R571" s="8"/>
      <c r="S571" s="8"/>
    </row>
    <row r="572" ht="15.75" customHeight="1">
      <c r="K572" s="8"/>
      <c r="L572" s="8"/>
      <c r="O572" s="8"/>
      <c r="Q572" s="8"/>
      <c r="R572" s="8"/>
      <c r="S572" s="8"/>
    </row>
    <row r="573" ht="15.75" customHeight="1">
      <c r="K573" s="8"/>
      <c r="L573" s="8"/>
      <c r="O573" s="8"/>
      <c r="Q573" s="8"/>
      <c r="R573" s="8"/>
      <c r="S573" s="8"/>
    </row>
    <row r="574" ht="15.75" customHeight="1">
      <c r="K574" s="8"/>
      <c r="L574" s="8"/>
      <c r="O574" s="8"/>
      <c r="Q574" s="8"/>
      <c r="R574" s="8"/>
      <c r="S574" s="8"/>
    </row>
    <row r="575" ht="15.75" customHeight="1">
      <c r="K575" s="8"/>
      <c r="L575" s="8"/>
      <c r="O575" s="8"/>
      <c r="Q575" s="8"/>
      <c r="R575" s="8"/>
      <c r="S575" s="8"/>
    </row>
    <row r="576" ht="15.75" customHeight="1">
      <c r="K576" s="8"/>
      <c r="L576" s="8"/>
      <c r="O576" s="8"/>
      <c r="Q576" s="8"/>
      <c r="R576" s="8"/>
      <c r="S576" s="8"/>
    </row>
    <row r="577" ht="15.75" customHeight="1">
      <c r="K577" s="8"/>
      <c r="L577" s="8"/>
      <c r="O577" s="8"/>
      <c r="Q577" s="8"/>
      <c r="R577" s="8"/>
      <c r="S577" s="8"/>
    </row>
    <row r="578" ht="15.75" customHeight="1">
      <c r="K578" s="8"/>
      <c r="L578" s="8"/>
      <c r="O578" s="8"/>
      <c r="Q578" s="8"/>
      <c r="R578" s="8"/>
      <c r="S578" s="8"/>
    </row>
    <row r="579" ht="15.75" customHeight="1">
      <c r="K579" s="8"/>
      <c r="L579" s="8"/>
      <c r="O579" s="8"/>
      <c r="Q579" s="8"/>
      <c r="R579" s="8"/>
      <c r="S579" s="8"/>
    </row>
    <row r="580" ht="15.75" customHeight="1">
      <c r="K580" s="8"/>
      <c r="L580" s="8"/>
      <c r="O580" s="8"/>
      <c r="Q580" s="8"/>
      <c r="R580" s="8"/>
      <c r="S580" s="8"/>
    </row>
    <row r="581" ht="15.75" customHeight="1">
      <c r="K581" s="8"/>
      <c r="L581" s="8"/>
      <c r="O581" s="8"/>
      <c r="Q581" s="8"/>
      <c r="R581" s="8"/>
      <c r="S581" s="8"/>
    </row>
    <row r="582" ht="15.75" customHeight="1">
      <c r="K582" s="8"/>
      <c r="L582" s="8"/>
      <c r="O582" s="8"/>
      <c r="Q582" s="8"/>
      <c r="R582" s="8"/>
      <c r="S582" s="8"/>
    </row>
    <row r="583" ht="15.75" customHeight="1">
      <c r="K583" s="8"/>
      <c r="L583" s="8"/>
      <c r="O583" s="8"/>
      <c r="Q583" s="8"/>
      <c r="R583" s="8"/>
      <c r="S583" s="8"/>
    </row>
    <row r="584" ht="15.75" customHeight="1">
      <c r="K584" s="8"/>
      <c r="L584" s="8"/>
      <c r="O584" s="8"/>
      <c r="Q584" s="8"/>
      <c r="R584" s="8"/>
      <c r="S584" s="8"/>
    </row>
    <row r="585" ht="15.75" customHeight="1">
      <c r="K585" s="8"/>
      <c r="L585" s="8"/>
      <c r="O585" s="8"/>
      <c r="Q585" s="8"/>
      <c r="R585" s="8"/>
      <c r="S585" s="8"/>
    </row>
    <row r="586" ht="15.75" customHeight="1">
      <c r="K586" s="8"/>
      <c r="L586" s="8"/>
      <c r="O586" s="8"/>
      <c r="Q586" s="8"/>
      <c r="R586" s="8"/>
      <c r="S586" s="8"/>
    </row>
    <row r="587" ht="15.75" customHeight="1">
      <c r="K587" s="8"/>
      <c r="L587" s="8"/>
      <c r="O587" s="8"/>
      <c r="Q587" s="8"/>
      <c r="R587" s="8"/>
      <c r="S587" s="8"/>
    </row>
    <row r="588" ht="15.75" customHeight="1">
      <c r="K588" s="8"/>
      <c r="L588" s="8"/>
      <c r="O588" s="8"/>
      <c r="Q588" s="8"/>
      <c r="R588" s="8"/>
      <c r="S588" s="8"/>
    </row>
    <row r="589" ht="15.75" customHeight="1">
      <c r="K589" s="8"/>
      <c r="L589" s="8"/>
      <c r="O589" s="8"/>
      <c r="Q589" s="8"/>
      <c r="R589" s="8"/>
      <c r="S589" s="8"/>
    </row>
    <row r="590" ht="15.75" customHeight="1">
      <c r="K590" s="8"/>
      <c r="L590" s="8"/>
      <c r="O590" s="8"/>
      <c r="Q590" s="8"/>
      <c r="R590" s="8"/>
      <c r="S590" s="8"/>
    </row>
    <row r="591" ht="15.75" customHeight="1">
      <c r="K591" s="8"/>
      <c r="L591" s="8"/>
      <c r="O591" s="8"/>
      <c r="Q591" s="8"/>
      <c r="R591" s="8"/>
      <c r="S591" s="8"/>
    </row>
    <row r="592" ht="15.75" customHeight="1">
      <c r="K592" s="8"/>
      <c r="L592" s="8"/>
      <c r="O592" s="8"/>
      <c r="Q592" s="8"/>
      <c r="R592" s="8"/>
      <c r="S592" s="8"/>
    </row>
    <row r="593" ht="15.75" customHeight="1">
      <c r="K593" s="8"/>
      <c r="L593" s="8"/>
      <c r="O593" s="8"/>
      <c r="Q593" s="8"/>
      <c r="R593" s="8"/>
      <c r="S593" s="8"/>
    </row>
    <row r="594" ht="15.75" customHeight="1">
      <c r="K594" s="8"/>
      <c r="L594" s="8"/>
      <c r="O594" s="8"/>
      <c r="Q594" s="8"/>
      <c r="R594" s="8"/>
      <c r="S594" s="8"/>
    </row>
    <row r="595" ht="15.75" customHeight="1">
      <c r="K595" s="8"/>
      <c r="L595" s="8"/>
      <c r="O595" s="8"/>
      <c r="Q595" s="8"/>
      <c r="R595" s="8"/>
      <c r="S595" s="8"/>
    </row>
    <row r="596" ht="15.75" customHeight="1">
      <c r="K596" s="8"/>
      <c r="L596" s="8"/>
      <c r="O596" s="8"/>
      <c r="Q596" s="8"/>
      <c r="R596" s="8"/>
      <c r="S596" s="8"/>
    </row>
    <row r="597" ht="15.75" customHeight="1">
      <c r="K597" s="8"/>
      <c r="L597" s="8"/>
      <c r="O597" s="8"/>
      <c r="Q597" s="8"/>
      <c r="R597" s="8"/>
      <c r="S597" s="8"/>
    </row>
    <row r="598" ht="15.75" customHeight="1">
      <c r="K598" s="8"/>
      <c r="L598" s="8"/>
      <c r="O598" s="8"/>
      <c r="Q598" s="8"/>
      <c r="R598" s="8"/>
      <c r="S598" s="8"/>
    </row>
    <row r="599" ht="15.75" customHeight="1">
      <c r="K599" s="8"/>
      <c r="L599" s="8"/>
      <c r="O599" s="8"/>
      <c r="Q599" s="8"/>
      <c r="R599" s="8"/>
      <c r="S599" s="8"/>
    </row>
    <row r="600" ht="15.75" customHeight="1">
      <c r="K600" s="8"/>
      <c r="L600" s="8"/>
      <c r="O600" s="8"/>
      <c r="Q600" s="8"/>
      <c r="R600" s="8"/>
      <c r="S600" s="8"/>
    </row>
    <row r="601" ht="15.75" customHeight="1">
      <c r="K601" s="8"/>
      <c r="L601" s="8"/>
      <c r="O601" s="8"/>
      <c r="Q601" s="8"/>
      <c r="R601" s="8"/>
      <c r="S601" s="8"/>
    </row>
    <row r="602" ht="15.75" customHeight="1">
      <c r="K602" s="8"/>
      <c r="L602" s="8"/>
      <c r="O602" s="8"/>
      <c r="Q602" s="8"/>
      <c r="R602" s="8"/>
      <c r="S602" s="8"/>
    </row>
    <row r="603" ht="15.75" customHeight="1">
      <c r="K603" s="8"/>
      <c r="L603" s="8"/>
      <c r="O603" s="8"/>
      <c r="Q603" s="8"/>
      <c r="R603" s="8"/>
      <c r="S603" s="8"/>
    </row>
    <row r="604" ht="15.75" customHeight="1">
      <c r="K604" s="8"/>
      <c r="L604" s="8"/>
      <c r="O604" s="8"/>
      <c r="Q604" s="8"/>
      <c r="R604" s="8"/>
      <c r="S604" s="8"/>
    </row>
    <row r="605" ht="15.75" customHeight="1">
      <c r="K605" s="8"/>
      <c r="L605" s="8"/>
      <c r="O605" s="8"/>
      <c r="Q605" s="8"/>
      <c r="R605" s="8"/>
      <c r="S605" s="8"/>
    </row>
    <row r="606" ht="15.75" customHeight="1">
      <c r="K606" s="8"/>
      <c r="L606" s="8"/>
      <c r="O606" s="8"/>
      <c r="Q606" s="8"/>
      <c r="R606" s="8"/>
      <c r="S606" s="8"/>
    </row>
    <row r="607" ht="15.75" customHeight="1">
      <c r="K607" s="8"/>
      <c r="L607" s="8"/>
      <c r="O607" s="8"/>
      <c r="Q607" s="8"/>
      <c r="R607" s="8"/>
      <c r="S607" s="8"/>
    </row>
    <row r="608" ht="15.75" customHeight="1">
      <c r="K608" s="8"/>
      <c r="L608" s="8"/>
      <c r="O608" s="8"/>
      <c r="Q608" s="8"/>
      <c r="R608" s="8"/>
      <c r="S608" s="8"/>
    </row>
    <row r="609" ht="15.75" customHeight="1">
      <c r="K609" s="8"/>
      <c r="L609" s="8"/>
      <c r="O609" s="8"/>
      <c r="Q609" s="8"/>
      <c r="R609" s="8"/>
      <c r="S609" s="8"/>
    </row>
    <row r="610" ht="15.75" customHeight="1">
      <c r="K610" s="8"/>
      <c r="L610" s="8"/>
      <c r="O610" s="8"/>
      <c r="Q610" s="8"/>
      <c r="R610" s="8"/>
      <c r="S610" s="8"/>
    </row>
    <row r="611" ht="15.75" customHeight="1">
      <c r="K611" s="8"/>
      <c r="L611" s="8"/>
      <c r="O611" s="8"/>
      <c r="Q611" s="8"/>
      <c r="R611" s="8"/>
      <c r="S611" s="8"/>
    </row>
    <row r="612" ht="15.75" customHeight="1">
      <c r="K612" s="8"/>
      <c r="L612" s="8"/>
      <c r="O612" s="8"/>
      <c r="Q612" s="8"/>
      <c r="R612" s="8"/>
      <c r="S612" s="8"/>
    </row>
    <row r="613" ht="15.75" customHeight="1">
      <c r="K613" s="8"/>
      <c r="L613" s="8"/>
      <c r="O613" s="8"/>
      <c r="Q613" s="8"/>
      <c r="R613" s="8"/>
      <c r="S613" s="8"/>
    </row>
    <row r="614" ht="15.75" customHeight="1">
      <c r="K614" s="8"/>
      <c r="L614" s="8"/>
      <c r="O614" s="8"/>
      <c r="Q614" s="8"/>
      <c r="R614" s="8"/>
      <c r="S614" s="8"/>
    </row>
    <row r="615" ht="15.75" customHeight="1">
      <c r="K615" s="8"/>
      <c r="L615" s="8"/>
      <c r="O615" s="8"/>
      <c r="Q615" s="8"/>
      <c r="R615" s="8"/>
      <c r="S615" s="8"/>
    </row>
    <row r="616" ht="15.75" customHeight="1">
      <c r="K616" s="8"/>
      <c r="L616" s="8"/>
      <c r="O616" s="8"/>
      <c r="Q616" s="8"/>
      <c r="R616" s="8"/>
      <c r="S616" s="8"/>
    </row>
    <row r="617" ht="15.75" customHeight="1">
      <c r="K617" s="8"/>
      <c r="L617" s="8"/>
      <c r="O617" s="8"/>
      <c r="Q617" s="8"/>
      <c r="R617" s="8"/>
      <c r="S617" s="8"/>
    </row>
    <row r="618" ht="15.75" customHeight="1">
      <c r="K618" s="8"/>
      <c r="L618" s="8"/>
      <c r="O618" s="8"/>
      <c r="Q618" s="8"/>
      <c r="R618" s="8"/>
      <c r="S618" s="8"/>
    </row>
    <row r="619" ht="15.75" customHeight="1">
      <c r="K619" s="8"/>
      <c r="L619" s="8"/>
      <c r="O619" s="8"/>
      <c r="Q619" s="8"/>
      <c r="R619" s="8"/>
      <c r="S619" s="8"/>
    </row>
    <row r="620" ht="15.75" customHeight="1">
      <c r="K620" s="8"/>
      <c r="L620" s="8"/>
      <c r="O620" s="8"/>
      <c r="Q620" s="8"/>
      <c r="R620" s="8"/>
      <c r="S620" s="8"/>
    </row>
    <row r="621" ht="15.75" customHeight="1">
      <c r="K621" s="8"/>
      <c r="L621" s="8"/>
      <c r="O621" s="8"/>
      <c r="Q621" s="8"/>
      <c r="R621" s="8"/>
      <c r="S621" s="8"/>
    </row>
    <row r="622" ht="15.75" customHeight="1">
      <c r="K622" s="8"/>
      <c r="L622" s="8"/>
      <c r="O622" s="8"/>
      <c r="Q622" s="8"/>
      <c r="R622" s="8"/>
      <c r="S622" s="8"/>
    </row>
    <row r="623" ht="15.75" customHeight="1">
      <c r="K623" s="8"/>
      <c r="L623" s="8"/>
      <c r="O623" s="8"/>
      <c r="Q623" s="8"/>
      <c r="R623" s="8"/>
      <c r="S623" s="8"/>
    </row>
    <row r="624" ht="15.75" customHeight="1">
      <c r="K624" s="8"/>
      <c r="L624" s="8"/>
      <c r="O624" s="8"/>
      <c r="Q624" s="8"/>
      <c r="R624" s="8"/>
      <c r="S624" s="8"/>
    </row>
    <row r="625" ht="15.75" customHeight="1">
      <c r="K625" s="8"/>
      <c r="L625" s="8"/>
      <c r="O625" s="8"/>
      <c r="Q625" s="8"/>
      <c r="R625" s="8"/>
      <c r="S625" s="8"/>
    </row>
    <row r="626" ht="15.75" customHeight="1">
      <c r="K626" s="8"/>
      <c r="L626" s="8"/>
      <c r="O626" s="8"/>
      <c r="Q626" s="8"/>
      <c r="R626" s="8"/>
      <c r="S626" s="8"/>
    </row>
    <row r="627" ht="15.75" customHeight="1">
      <c r="K627" s="8"/>
      <c r="L627" s="8"/>
      <c r="O627" s="8"/>
      <c r="Q627" s="8"/>
      <c r="R627" s="8"/>
      <c r="S627" s="8"/>
    </row>
    <row r="628" ht="15.75" customHeight="1">
      <c r="K628" s="8"/>
      <c r="L628" s="8"/>
      <c r="O628" s="8"/>
      <c r="Q628" s="8"/>
      <c r="R628" s="8"/>
      <c r="S628" s="8"/>
    </row>
    <row r="629" ht="15.75" customHeight="1">
      <c r="K629" s="8"/>
      <c r="L629" s="8"/>
      <c r="O629" s="8"/>
      <c r="Q629" s="8"/>
      <c r="R629" s="8"/>
      <c r="S629" s="8"/>
    </row>
    <row r="630" ht="15.75" customHeight="1">
      <c r="K630" s="8"/>
      <c r="L630" s="8"/>
      <c r="O630" s="8"/>
      <c r="Q630" s="8"/>
      <c r="R630" s="8"/>
      <c r="S630" s="8"/>
    </row>
    <row r="631" ht="15.75" customHeight="1">
      <c r="K631" s="8"/>
      <c r="L631" s="8"/>
      <c r="O631" s="8"/>
      <c r="Q631" s="8"/>
      <c r="R631" s="8"/>
      <c r="S631" s="8"/>
    </row>
    <row r="632" ht="15.75" customHeight="1">
      <c r="K632" s="8"/>
      <c r="L632" s="8"/>
      <c r="O632" s="8"/>
      <c r="Q632" s="8"/>
      <c r="R632" s="8"/>
      <c r="S632" s="8"/>
    </row>
    <row r="633" ht="15.75" customHeight="1">
      <c r="K633" s="8"/>
      <c r="L633" s="8"/>
      <c r="O633" s="8"/>
      <c r="Q633" s="8"/>
      <c r="R633" s="8"/>
      <c r="S633" s="8"/>
    </row>
    <row r="634" ht="15.75" customHeight="1">
      <c r="K634" s="8"/>
      <c r="L634" s="8"/>
      <c r="O634" s="8"/>
      <c r="Q634" s="8"/>
      <c r="R634" s="8"/>
      <c r="S634" s="8"/>
    </row>
    <row r="635" ht="15.75" customHeight="1">
      <c r="K635" s="8"/>
      <c r="L635" s="8"/>
      <c r="O635" s="8"/>
      <c r="Q635" s="8"/>
      <c r="R635" s="8"/>
      <c r="S635" s="8"/>
    </row>
    <row r="636" ht="15.75" customHeight="1">
      <c r="K636" s="8"/>
      <c r="L636" s="8"/>
      <c r="O636" s="8"/>
      <c r="Q636" s="8"/>
      <c r="R636" s="8"/>
      <c r="S636" s="8"/>
    </row>
    <row r="637" ht="15.75" customHeight="1">
      <c r="K637" s="8"/>
      <c r="L637" s="8"/>
      <c r="O637" s="8"/>
      <c r="Q637" s="8"/>
      <c r="R637" s="8"/>
      <c r="S637" s="8"/>
    </row>
    <row r="638" ht="15.75" customHeight="1">
      <c r="K638" s="8"/>
      <c r="L638" s="8"/>
      <c r="O638" s="8"/>
      <c r="Q638" s="8"/>
      <c r="R638" s="8"/>
      <c r="S638" s="8"/>
    </row>
    <row r="639" ht="15.75" customHeight="1">
      <c r="K639" s="8"/>
      <c r="L639" s="8"/>
      <c r="O639" s="8"/>
      <c r="Q639" s="8"/>
      <c r="R639" s="8"/>
      <c r="S639" s="8"/>
    </row>
    <row r="640" ht="15.75" customHeight="1">
      <c r="K640" s="8"/>
      <c r="L640" s="8"/>
      <c r="O640" s="8"/>
      <c r="Q640" s="8"/>
      <c r="R640" s="8"/>
      <c r="S640" s="8"/>
    </row>
    <row r="641" ht="15.75" customHeight="1">
      <c r="K641" s="8"/>
      <c r="L641" s="8"/>
      <c r="O641" s="8"/>
      <c r="Q641" s="8"/>
      <c r="R641" s="8"/>
      <c r="S641" s="8"/>
    </row>
    <row r="642" ht="15.75" customHeight="1">
      <c r="K642" s="8"/>
      <c r="L642" s="8"/>
      <c r="O642" s="8"/>
      <c r="Q642" s="8"/>
      <c r="R642" s="8"/>
      <c r="S642" s="8"/>
    </row>
    <row r="643" ht="15.75" customHeight="1">
      <c r="K643" s="8"/>
      <c r="L643" s="8"/>
      <c r="O643" s="8"/>
      <c r="Q643" s="8"/>
      <c r="R643" s="8"/>
      <c r="S643" s="8"/>
    </row>
    <row r="644" ht="15.75" customHeight="1">
      <c r="K644" s="8"/>
      <c r="L644" s="8"/>
      <c r="O644" s="8"/>
      <c r="Q644" s="8"/>
      <c r="R644" s="8"/>
      <c r="S644" s="8"/>
    </row>
    <row r="645" ht="15.75" customHeight="1">
      <c r="K645" s="8"/>
      <c r="L645" s="8"/>
      <c r="O645" s="8"/>
      <c r="Q645" s="8"/>
      <c r="R645" s="8"/>
      <c r="S645" s="8"/>
    </row>
    <row r="646" ht="15.75" customHeight="1">
      <c r="K646" s="8"/>
      <c r="L646" s="8"/>
      <c r="O646" s="8"/>
      <c r="Q646" s="8"/>
      <c r="R646" s="8"/>
      <c r="S646" s="8"/>
    </row>
    <row r="647" ht="15.75" customHeight="1">
      <c r="K647" s="8"/>
      <c r="L647" s="8"/>
      <c r="O647" s="8"/>
      <c r="Q647" s="8"/>
      <c r="R647" s="8"/>
      <c r="S647" s="8"/>
    </row>
    <row r="648" ht="15.75" customHeight="1">
      <c r="K648" s="8"/>
      <c r="L648" s="8"/>
      <c r="O648" s="8"/>
      <c r="Q648" s="8"/>
      <c r="R648" s="8"/>
      <c r="S648" s="8"/>
    </row>
    <row r="649" ht="15.75" customHeight="1">
      <c r="K649" s="8"/>
      <c r="L649" s="8"/>
      <c r="O649" s="8"/>
      <c r="Q649" s="8"/>
      <c r="R649" s="8"/>
      <c r="S649" s="8"/>
    </row>
    <row r="650" ht="15.75" customHeight="1">
      <c r="K650" s="8"/>
      <c r="L650" s="8"/>
      <c r="O650" s="8"/>
      <c r="Q650" s="8"/>
      <c r="R650" s="8"/>
      <c r="S650" s="8"/>
    </row>
    <row r="651" ht="15.75" customHeight="1">
      <c r="K651" s="8"/>
      <c r="L651" s="8"/>
      <c r="O651" s="8"/>
      <c r="Q651" s="8"/>
      <c r="R651" s="8"/>
      <c r="S651" s="8"/>
    </row>
    <row r="652" ht="15.75" customHeight="1">
      <c r="K652" s="8"/>
      <c r="L652" s="8"/>
      <c r="O652" s="8"/>
      <c r="Q652" s="8"/>
      <c r="R652" s="8"/>
      <c r="S652" s="8"/>
    </row>
    <row r="653" ht="15.75" customHeight="1">
      <c r="K653" s="8"/>
      <c r="L653" s="8"/>
      <c r="O653" s="8"/>
      <c r="Q653" s="8"/>
      <c r="R653" s="8"/>
      <c r="S653" s="8"/>
    </row>
    <row r="654" ht="15.75" customHeight="1">
      <c r="K654" s="8"/>
      <c r="L654" s="8"/>
      <c r="O654" s="8"/>
      <c r="Q654" s="8"/>
      <c r="R654" s="8"/>
      <c r="S654" s="8"/>
    </row>
    <row r="655" ht="15.75" customHeight="1">
      <c r="K655" s="8"/>
      <c r="L655" s="8"/>
      <c r="O655" s="8"/>
      <c r="Q655" s="8"/>
      <c r="R655" s="8"/>
      <c r="S655" s="8"/>
    </row>
    <row r="656" ht="15.75" customHeight="1">
      <c r="K656" s="8"/>
      <c r="L656" s="8"/>
      <c r="O656" s="8"/>
      <c r="Q656" s="8"/>
      <c r="R656" s="8"/>
      <c r="S656" s="8"/>
    </row>
    <row r="657" ht="15.75" customHeight="1">
      <c r="K657" s="8"/>
      <c r="L657" s="8"/>
      <c r="O657" s="8"/>
      <c r="Q657" s="8"/>
      <c r="R657" s="8"/>
      <c r="S657" s="8"/>
    </row>
    <row r="658" ht="15.75" customHeight="1">
      <c r="K658" s="8"/>
      <c r="L658" s="8"/>
      <c r="O658" s="8"/>
      <c r="Q658" s="8"/>
      <c r="R658" s="8"/>
      <c r="S658" s="8"/>
    </row>
    <row r="659" ht="15.75" customHeight="1">
      <c r="K659" s="8"/>
      <c r="L659" s="8"/>
      <c r="O659" s="8"/>
      <c r="Q659" s="8"/>
      <c r="R659" s="8"/>
      <c r="S659" s="8"/>
    </row>
    <row r="660" ht="15.75" customHeight="1">
      <c r="K660" s="8"/>
      <c r="L660" s="8"/>
      <c r="O660" s="8"/>
      <c r="Q660" s="8"/>
      <c r="R660" s="8"/>
      <c r="S660" s="8"/>
    </row>
    <row r="661" ht="15.75" customHeight="1">
      <c r="K661" s="8"/>
      <c r="L661" s="8"/>
      <c r="O661" s="8"/>
      <c r="Q661" s="8"/>
      <c r="R661" s="8"/>
      <c r="S661" s="8"/>
    </row>
    <row r="662" ht="15.75" customHeight="1">
      <c r="K662" s="8"/>
      <c r="L662" s="8"/>
      <c r="O662" s="8"/>
      <c r="Q662" s="8"/>
      <c r="R662" s="8"/>
      <c r="S662" s="8"/>
    </row>
    <row r="663" ht="15.75" customHeight="1">
      <c r="K663" s="8"/>
      <c r="L663" s="8"/>
      <c r="O663" s="8"/>
      <c r="Q663" s="8"/>
      <c r="R663" s="8"/>
      <c r="S663" s="8"/>
    </row>
    <row r="664" ht="15.75" customHeight="1">
      <c r="K664" s="8"/>
      <c r="L664" s="8"/>
      <c r="O664" s="8"/>
      <c r="Q664" s="8"/>
      <c r="R664" s="8"/>
      <c r="S664" s="8"/>
    </row>
    <row r="665" ht="15.75" customHeight="1">
      <c r="K665" s="8"/>
      <c r="L665" s="8"/>
      <c r="O665" s="8"/>
      <c r="Q665" s="8"/>
      <c r="R665" s="8"/>
      <c r="S665" s="8"/>
    </row>
    <row r="666" ht="15.75" customHeight="1">
      <c r="K666" s="8"/>
      <c r="L666" s="8"/>
      <c r="O666" s="8"/>
      <c r="Q666" s="8"/>
      <c r="R666" s="8"/>
      <c r="S666" s="8"/>
    </row>
    <row r="667" ht="15.75" customHeight="1">
      <c r="K667" s="8"/>
      <c r="L667" s="8"/>
      <c r="O667" s="8"/>
      <c r="Q667" s="8"/>
      <c r="R667" s="8"/>
      <c r="S667" s="8"/>
    </row>
    <row r="668" ht="15.75" customHeight="1">
      <c r="K668" s="8"/>
      <c r="L668" s="8"/>
      <c r="O668" s="8"/>
      <c r="Q668" s="8"/>
      <c r="R668" s="8"/>
      <c r="S668" s="8"/>
    </row>
    <row r="669" ht="15.75" customHeight="1">
      <c r="K669" s="8"/>
      <c r="L669" s="8"/>
      <c r="O669" s="8"/>
      <c r="Q669" s="8"/>
      <c r="R669" s="8"/>
      <c r="S669" s="8"/>
    </row>
    <row r="670" ht="15.75" customHeight="1">
      <c r="K670" s="8"/>
      <c r="L670" s="8"/>
      <c r="O670" s="8"/>
      <c r="Q670" s="8"/>
      <c r="R670" s="8"/>
      <c r="S670" s="8"/>
    </row>
    <row r="671" ht="15.75" customHeight="1">
      <c r="K671" s="8"/>
      <c r="L671" s="8"/>
      <c r="O671" s="8"/>
      <c r="Q671" s="8"/>
      <c r="R671" s="8"/>
      <c r="S671" s="8"/>
    </row>
    <row r="672" ht="15.75" customHeight="1">
      <c r="K672" s="8"/>
      <c r="L672" s="8"/>
      <c r="O672" s="8"/>
      <c r="Q672" s="8"/>
      <c r="R672" s="8"/>
      <c r="S672" s="8"/>
    </row>
    <row r="673" ht="15.75" customHeight="1">
      <c r="K673" s="8"/>
      <c r="L673" s="8"/>
      <c r="O673" s="8"/>
      <c r="Q673" s="8"/>
      <c r="R673" s="8"/>
      <c r="S673" s="8"/>
    </row>
    <row r="674" ht="15.75" customHeight="1">
      <c r="K674" s="8"/>
      <c r="L674" s="8"/>
      <c r="O674" s="8"/>
      <c r="Q674" s="8"/>
      <c r="R674" s="8"/>
      <c r="S674" s="8"/>
    </row>
    <row r="675" ht="15.75" customHeight="1">
      <c r="K675" s="8"/>
      <c r="L675" s="8"/>
      <c r="O675" s="8"/>
      <c r="Q675" s="8"/>
      <c r="R675" s="8"/>
      <c r="S675" s="8"/>
    </row>
    <row r="676" ht="15.75" customHeight="1">
      <c r="K676" s="8"/>
      <c r="L676" s="8"/>
      <c r="O676" s="8"/>
      <c r="Q676" s="8"/>
      <c r="R676" s="8"/>
      <c r="S676" s="8"/>
    </row>
    <row r="677" ht="15.75" customHeight="1">
      <c r="K677" s="8"/>
      <c r="L677" s="8"/>
      <c r="O677" s="8"/>
      <c r="Q677" s="8"/>
      <c r="R677" s="8"/>
      <c r="S677" s="8"/>
    </row>
    <row r="678" ht="15.75" customHeight="1">
      <c r="K678" s="8"/>
      <c r="L678" s="8"/>
      <c r="O678" s="8"/>
      <c r="Q678" s="8"/>
      <c r="R678" s="8"/>
      <c r="S678" s="8"/>
    </row>
    <row r="679" ht="15.75" customHeight="1">
      <c r="K679" s="8"/>
      <c r="L679" s="8"/>
      <c r="O679" s="8"/>
      <c r="Q679" s="8"/>
      <c r="R679" s="8"/>
      <c r="S679" s="8"/>
    </row>
    <row r="680" ht="15.75" customHeight="1">
      <c r="K680" s="8"/>
      <c r="L680" s="8"/>
      <c r="O680" s="8"/>
      <c r="Q680" s="8"/>
      <c r="R680" s="8"/>
      <c r="S680" s="8"/>
    </row>
    <row r="681" ht="15.75" customHeight="1">
      <c r="K681" s="8"/>
      <c r="L681" s="8"/>
      <c r="O681" s="8"/>
      <c r="Q681" s="8"/>
      <c r="R681" s="8"/>
      <c r="S681" s="8"/>
    </row>
    <row r="682" ht="15.75" customHeight="1">
      <c r="K682" s="8"/>
      <c r="L682" s="8"/>
      <c r="O682" s="8"/>
      <c r="Q682" s="8"/>
      <c r="R682" s="8"/>
      <c r="S682" s="8"/>
    </row>
    <row r="683" ht="15.75" customHeight="1">
      <c r="K683" s="8"/>
      <c r="L683" s="8"/>
      <c r="O683" s="8"/>
      <c r="Q683" s="8"/>
      <c r="R683" s="8"/>
      <c r="S683" s="8"/>
    </row>
    <row r="684" ht="15.75" customHeight="1">
      <c r="K684" s="8"/>
      <c r="L684" s="8"/>
      <c r="O684" s="8"/>
      <c r="Q684" s="8"/>
      <c r="R684" s="8"/>
      <c r="S684" s="8"/>
    </row>
    <row r="685" ht="15.75" customHeight="1">
      <c r="K685" s="8"/>
      <c r="L685" s="8"/>
      <c r="O685" s="8"/>
      <c r="Q685" s="8"/>
      <c r="R685" s="8"/>
      <c r="S685" s="8"/>
    </row>
    <row r="686" ht="15.75" customHeight="1">
      <c r="K686" s="8"/>
      <c r="L686" s="8"/>
      <c r="O686" s="8"/>
      <c r="Q686" s="8"/>
      <c r="R686" s="8"/>
      <c r="S686" s="8"/>
    </row>
    <row r="687" ht="15.75" customHeight="1">
      <c r="K687" s="8"/>
      <c r="L687" s="8"/>
      <c r="O687" s="8"/>
      <c r="Q687" s="8"/>
      <c r="R687" s="8"/>
      <c r="S687" s="8"/>
    </row>
    <row r="688" ht="15.75" customHeight="1">
      <c r="K688" s="8"/>
      <c r="L688" s="8"/>
      <c r="O688" s="8"/>
      <c r="Q688" s="8"/>
      <c r="R688" s="8"/>
      <c r="S688" s="8"/>
    </row>
    <row r="689" ht="15.75" customHeight="1">
      <c r="K689" s="8"/>
      <c r="L689" s="8"/>
      <c r="O689" s="8"/>
      <c r="Q689" s="8"/>
      <c r="R689" s="8"/>
      <c r="S689" s="8"/>
    </row>
    <row r="690" ht="15.75" customHeight="1">
      <c r="K690" s="8"/>
      <c r="L690" s="8"/>
      <c r="O690" s="8"/>
      <c r="Q690" s="8"/>
      <c r="R690" s="8"/>
      <c r="S690" s="8"/>
    </row>
    <row r="691" ht="15.75" customHeight="1">
      <c r="K691" s="8"/>
      <c r="L691" s="8"/>
      <c r="O691" s="8"/>
      <c r="Q691" s="8"/>
      <c r="R691" s="8"/>
      <c r="S691" s="8"/>
    </row>
    <row r="692" ht="15.75" customHeight="1">
      <c r="K692" s="8"/>
      <c r="L692" s="8"/>
      <c r="O692" s="8"/>
      <c r="Q692" s="8"/>
      <c r="R692" s="8"/>
      <c r="S692" s="8"/>
    </row>
    <row r="693" ht="15.75" customHeight="1">
      <c r="K693" s="8"/>
      <c r="L693" s="8"/>
      <c r="O693" s="8"/>
      <c r="Q693" s="8"/>
      <c r="R693" s="8"/>
      <c r="S693" s="8"/>
    </row>
    <row r="694" ht="15.75" customHeight="1">
      <c r="K694" s="8"/>
      <c r="L694" s="8"/>
      <c r="O694" s="8"/>
      <c r="Q694" s="8"/>
      <c r="R694" s="8"/>
      <c r="S694" s="8"/>
    </row>
    <row r="695" ht="15.75" customHeight="1">
      <c r="K695" s="8"/>
      <c r="L695" s="8"/>
      <c r="O695" s="8"/>
      <c r="Q695" s="8"/>
      <c r="R695" s="8"/>
      <c r="S695" s="8"/>
    </row>
    <row r="696" ht="15.75" customHeight="1">
      <c r="K696" s="8"/>
      <c r="L696" s="8"/>
      <c r="O696" s="8"/>
      <c r="Q696" s="8"/>
      <c r="R696" s="8"/>
      <c r="S696" s="8"/>
    </row>
    <row r="697" ht="15.75" customHeight="1">
      <c r="K697" s="8"/>
      <c r="L697" s="8"/>
      <c r="O697" s="8"/>
      <c r="Q697" s="8"/>
      <c r="R697" s="8"/>
      <c r="S697" s="8"/>
    </row>
    <row r="698" ht="15.75" customHeight="1">
      <c r="K698" s="8"/>
      <c r="L698" s="8"/>
      <c r="O698" s="8"/>
      <c r="Q698" s="8"/>
      <c r="R698" s="8"/>
      <c r="S698" s="8"/>
    </row>
    <row r="699" ht="15.75" customHeight="1">
      <c r="K699" s="8"/>
      <c r="L699" s="8"/>
      <c r="O699" s="8"/>
      <c r="Q699" s="8"/>
      <c r="R699" s="8"/>
      <c r="S699" s="8"/>
    </row>
    <row r="700" ht="15.75" customHeight="1">
      <c r="K700" s="8"/>
      <c r="L700" s="8"/>
      <c r="O700" s="8"/>
      <c r="Q700" s="8"/>
      <c r="R700" s="8"/>
      <c r="S700" s="8"/>
    </row>
    <row r="701" ht="15.75" customHeight="1">
      <c r="K701" s="8"/>
      <c r="L701" s="8"/>
      <c r="O701" s="8"/>
      <c r="Q701" s="8"/>
      <c r="R701" s="8"/>
      <c r="S701" s="8"/>
    </row>
    <row r="702" ht="15.75" customHeight="1">
      <c r="K702" s="8"/>
      <c r="L702" s="8"/>
      <c r="O702" s="8"/>
      <c r="Q702" s="8"/>
      <c r="R702" s="8"/>
      <c r="S702" s="8"/>
    </row>
    <row r="703" ht="15.75" customHeight="1">
      <c r="K703" s="8"/>
      <c r="L703" s="8"/>
      <c r="O703" s="8"/>
      <c r="Q703" s="8"/>
      <c r="R703" s="8"/>
      <c r="S703" s="8"/>
    </row>
    <row r="704" ht="15.75" customHeight="1">
      <c r="K704" s="8"/>
      <c r="L704" s="8"/>
      <c r="O704" s="8"/>
      <c r="Q704" s="8"/>
      <c r="R704" s="8"/>
      <c r="S704" s="8"/>
    </row>
    <row r="705" ht="15.75" customHeight="1">
      <c r="K705" s="8"/>
      <c r="L705" s="8"/>
      <c r="O705" s="8"/>
      <c r="Q705" s="8"/>
      <c r="R705" s="8"/>
      <c r="S705" s="8"/>
    </row>
    <row r="706" ht="15.75" customHeight="1">
      <c r="K706" s="8"/>
      <c r="L706" s="8"/>
      <c r="O706" s="8"/>
      <c r="Q706" s="8"/>
      <c r="R706" s="8"/>
      <c r="S706" s="8"/>
    </row>
    <row r="707" ht="15.75" customHeight="1">
      <c r="K707" s="8"/>
      <c r="L707" s="8"/>
      <c r="O707" s="8"/>
      <c r="Q707" s="8"/>
      <c r="R707" s="8"/>
      <c r="S707" s="8"/>
    </row>
    <row r="708" ht="15.75" customHeight="1">
      <c r="K708" s="8"/>
      <c r="L708" s="8"/>
      <c r="O708" s="8"/>
      <c r="Q708" s="8"/>
      <c r="R708" s="8"/>
      <c r="S708" s="8"/>
    </row>
    <row r="709" ht="15.75" customHeight="1">
      <c r="K709" s="8"/>
      <c r="L709" s="8"/>
      <c r="O709" s="8"/>
      <c r="Q709" s="8"/>
      <c r="R709" s="8"/>
      <c r="S709" s="8"/>
    </row>
    <row r="710" ht="15.75" customHeight="1">
      <c r="K710" s="8"/>
      <c r="L710" s="8"/>
      <c r="O710" s="8"/>
      <c r="Q710" s="8"/>
      <c r="R710" s="8"/>
      <c r="S710" s="8"/>
    </row>
    <row r="711" ht="15.75" customHeight="1">
      <c r="K711" s="8"/>
      <c r="L711" s="8"/>
      <c r="O711" s="8"/>
      <c r="Q711" s="8"/>
      <c r="R711" s="8"/>
      <c r="S711" s="8"/>
    </row>
    <row r="712" ht="15.75" customHeight="1">
      <c r="K712" s="8"/>
      <c r="L712" s="8"/>
      <c r="O712" s="8"/>
      <c r="Q712" s="8"/>
      <c r="R712" s="8"/>
      <c r="S712" s="8"/>
    </row>
    <row r="713" ht="15.75" customHeight="1">
      <c r="K713" s="8"/>
      <c r="L713" s="8"/>
      <c r="O713" s="8"/>
      <c r="Q713" s="8"/>
      <c r="R713" s="8"/>
      <c r="S713" s="8"/>
    </row>
    <row r="714" ht="15.75" customHeight="1">
      <c r="K714" s="8"/>
      <c r="L714" s="8"/>
      <c r="O714" s="8"/>
      <c r="Q714" s="8"/>
      <c r="R714" s="8"/>
      <c r="S714" s="8"/>
    </row>
    <row r="715" ht="15.75" customHeight="1">
      <c r="K715" s="8"/>
      <c r="L715" s="8"/>
      <c r="O715" s="8"/>
      <c r="Q715" s="8"/>
      <c r="R715" s="8"/>
      <c r="S715" s="8"/>
    </row>
    <row r="716" ht="15.75" customHeight="1">
      <c r="K716" s="8"/>
      <c r="L716" s="8"/>
      <c r="O716" s="8"/>
      <c r="Q716" s="8"/>
      <c r="R716" s="8"/>
      <c r="S716" s="8"/>
    </row>
    <row r="717" ht="15.75" customHeight="1">
      <c r="K717" s="8"/>
      <c r="L717" s="8"/>
      <c r="O717" s="8"/>
      <c r="Q717" s="8"/>
      <c r="R717" s="8"/>
      <c r="S717" s="8"/>
    </row>
    <row r="718" ht="15.75" customHeight="1">
      <c r="K718" s="8"/>
      <c r="L718" s="8"/>
      <c r="O718" s="8"/>
      <c r="Q718" s="8"/>
      <c r="R718" s="8"/>
      <c r="S718" s="8"/>
    </row>
    <row r="719" ht="15.75" customHeight="1">
      <c r="K719" s="8"/>
      <c r="L719" s="8"/>
      <c r="O719" s="8"/>
      <c r="Q719" s="8"/>
      <c r="R719" s="8"/>
      <c r="S719" s="8"/>
    </row>
    <row r="720" ht="15.75" customHeight="1">
      <c r="K720" s="8"/>
      <c r="L720" s="8"/>
      <c r="O720" s="8"/>
      <c r="Q720" s="8"/>
      <c r="R720" s="8"/>
      <c r="S720" s="8"/>
    </row>
    <row r="721" ht="15.75" customHeight="1">
      <c r="K721" s="8"/>
      <c r="L721" s="8"/>
      <c r="O721" s="8"/>
      <c r="Q721" s="8"/>
      <c r="R721" s="8"/>
      <c r="S721" s="8"/>
    </row>
    <row r="722" ht="15.75" customHeight="1">
      <c r="K722" s="8"/>
      <c r="L722" s="8"/>
      <c r="O722" s="8"/>
      <c r="Q722" s="8"/>
      <c r="R722" s="8"/>
      <c r="S722" s="8"/>
    </row>
    <row r="723" ht="15.75" customHeight="1">
      <c r="K723" s="8"/>
      <c r="L723" s="8"/>
      <c r="O723" s="8"/>
      <c r="Q723" s="8"/>
      <c r="R723" s="8"/>
      <c r="S723" s="8"/>
    </row>
    <row r="724" ht="15.75" customHeight="1">
      <c r="K724" s="8"/>
      <c r="L724" s="8"/>
      <c r="O724" s="8"/>
      <c r="Q724" s="8"/>
      <c r="R724" s="8"/>
      <c r="S724" s="8"/>
    </row>
    <row r="725" ht="15.75" customHeight="1">
      <c r="K725" s="8"/>
      <c r="L725" s="8"/>
      <c r="O725" s="8"/>
      <c r="Q725" s="8"/>
      <c r="R725" s="8"/>
      <c r="S725" s="8"/>
    </row>
    <row r="726" ht="15.75" customHeight="1">
      <c r="K726" s="8"/>
      <c r="L726" s="8"/>
      <c r="O726" s="8"/>
      <c r="Q726" s="8"/>
      <c r="R726" s="8"/>
      <c r="S726" s="8"/>
    </row>
    <row r="727" ht="15.75" customHeight="1">
      <c r="K727" s="8"/>
      <c r="L727" s="8"/>
      <c r="O727" s="8"/>
      <c r="Q727" s="8"/>
      <c r="R727" s="8"/>
      <c r="S727" s="8"/>
    </row>
    <row r="728" ht="15.75" customHeight="1">
      <c r="K728" s="8"/>
      <c r="L728" s="8"/>
      <c r="O728" s="8"/>
      <c r="Q728" s="8"/>
      <c r="R728" s="8"/>
      <c r="S728" s="8"/>
    </row>
    <row r="729" ht="15.75" customHeight="1">
      <c r="K729" s="8"/>
      <c r="L729" s="8"/>
      <c r="O729" s="8"/>
      <c r="Q729" s="8"/>
      <c r="R729" s="8"/>
      <c r="S729" s="8"/>
    </row>
    <row r="730" ht="15.75" customHeight="1">
      <c r="K730" s="8"/>
      <c r="L730" s="8"/>
      <c r="O730" s="8"/>
      <c r="Q730" s="8"/>
      <c r="R730" s="8"/>
      <c r="S730" s="8"/>
    </row>
    <row r="731" ht="15.75" customHeight="1">
      <c r="K731" s="8"/>
      <c r="L731" s="8"/>
      <c r="O731" s="8"/>
      <c r="Q731" s="8"/>
      <c r="R731" s="8"/>
      <c r="S731" s="8"/>
    </row>
    <row r="732" ht="15.75" customHeight="1">
      <c r="K732" s="8"/>
      <c r="L732" s="8"/>
      <c r="O732" s="8"/>
      <c r="Q732" s="8"/>
      <c r="R732" s="8"/>
      <c r="S732" s="8"/>
    </row>
    <row r="733" ht="15.75" customHeight="1">
      <c r="K733" s="8"/>
      <c r="L733" s="8"/>
      <c r="O733" s="8"/>
      <c r="Q733" s="8"/>
      <c r="R733" s="8"/>
      <c r="S733" s="8"/>
    </row>
    <row r="734" ht="15.75" customHeight="1">
      <c r="K734" s="8"/>
      <c r="L734" s="8"/>
      <c r="O734" s="8"/>
      <c r="Q734" s="8"/>
      <c r="R734" s="8"/>
      <c r="S734" s="8"/>
    </row>
    <row r="735" ht="15.75" customHeight="1">
      <c r="K735" s="8"/>
      <c r="L735" s="8"/>
      <c r="O735" s="8"/>
      <c r="Q735" s="8"/>
      <c r="R735" s="8"/>
      <c r="S735" s="8"/>
    </row>
    <row r="736" ht="15.75" customHeight="1">
      <c r="K736" s="8"/>
      <c r="L736" s="8"/>
      <c r="O736" s="8"/>
      <c r="Q736" s="8"/>
      <c r="R736" s="8"/>
      <c r="S736" s="8"/>
    </row>
    <row r="737" ht="15.75" customHeight="1">
      <c r="K737" s="8"/>
      <c r="L737" s="8"/>
      <c r="O737" s="8"/>
      <c r="Q737" s="8"/>
      <c r="R737" s="8"/>
      <c r="S737" s="8"/>
    </row>
    <row r="738" ht="15.75" customHeight="1">
      <c r="K738" s="8"/>
      <c r="L738" s="8"/>
      <c r="O738" s="8"/>
      <c r="Q738" s="8"/>
      <c r="R738" s="8"/>
      <c r="S738" s="8"/>
    </row>
    <row r="739" ht="15.75" customHeight="1">
      <c r="K739" s="8"/>
      <c r="L739" s="8"/>
      <c r="O739" s="8"/>
      <c r="Q739" s="8"/>
      <c r="R739" s="8"/>
      <c r="S739" s="8"/>
    </row>
    <row r="740" ht="15.75" customHeight="1">
      <c r="K740" s="8"/>
      <c r="L740" s="8"/>
      <c r="O740" s="8"/>
      <c r="Q740" s="8"/>
      <c r="R740" s="8"/>
      <c r="S740" s="8"/>
    </row>
    <row r="741" ht="15.75" customHeight="1">
      <c r="K741" s="8"/>
      <c r="L741" s="8"/>
      <c r="O741" s="8"/>
      <c r="Q741" s="8"/>
      <c r="R741" s="8"/>
      <c r="S741" s="8"/>
    </row>
    <row r="742" ht="15.75" customHeight="1">
      <c r="K742" s="8"/>
      <c r="L742" s="8"/>
      <c r="O742" s="8"/>
      <c r="Q742" s="8"/>
      <c r="R742" s="8"/>
      <c r="S742" s="8"/>
    </row>
    <row r="743" ht="15.75" customHeight="1">
      <c r="K743" s="8"/>
      <c r="L743" s="8"/>
      <c r="O743" s="8"/>
      <c r="Q743" s="8"/>
      <c r="R743" s="8"/>
      <c r="S743" s="8"/>
    </row>
    <row r="744" ht="15.75" customHeight="1">
      <c r="K744" s="8"/>
      <c r="L744" s="8"/>
      <c r="O744" s="8"/>
      <c r="Q744" s="8"/>
      <c r="R744" s="8"/>
      <c r="S744" s="8"/>
    </row>
    <row r="745" ht="15.75" customHeight="1">
      <c r="K745" s="8"/>
      <c r="L745" s="8"/>
      <c r="O745" s="8"/>
      <c r="Q745" s="8"/>
      <c r="R745" s="8"/>
      <c r="S745" s="8"/>
    </row>
    <row r="746" ht="15.75" customHeight="1">
      <c r="K746" s="8"/>
      <c r="L746" s="8"/>
      <c r="O746" s="8"/>
      <c r="Q746" s="8"/>
      <c r="R746" s="8"/>
      <c r="S746" s="8"/>
    </row>
    <row r="747" ht="15.75" customHeight="1">
      <c r="K747" s="8"/>
      <c r="L747" s="8"/>
      <c r="O747" s="8"/>
      <c r="Q747" s="8"/>
      <c r="R747" s="8"/>
      <c r="S747" s="8"/>
    </row>
    <row r="748" ht="15.75" customHeight="1">
      <c r="K748" s="8"/>
      <c r="L748" s="8"/>
      <c r="O748" s="8"/>
      <c r="Q748" s="8"/>
      <c r="R748" s="8"/>
      <c r="S748" s="8"/>
    </row>
    <row r="749" ht="15.75" customHeight="1">
      <c r="K749" s="8"/>
      <c r="L749" s="8"/>
      <c r="O749" s="8"/>
      <c r="Q749" s="8"/>
      <c r="R749" s="8"/>
      <c r="S749" s="8"/>
    </row>
    <row r="750" ht="15.75" customHeight="1">
      <c r="K750" s="8"/>
      <c r="L750" s="8"/>
      <c r="O750" s="8"/>
      <c r="Q750" s="8"/>
      <c r="R750" s="8"/>
      <c r="S750" s="8"/>
    </row>
    <row r="751" ht="15.75" customHeight="1">
      <c r="K751" s="8"/>
      <c r="L751" s="8"/>
      <c r="O751" s="8"/>
      <c r="Q751" s="8"/>
      <c r="R751" s="8"/>
      <c r="S751" s="8"/>
    </row>
    <row r="752" ht="15.75" customHeight="1">
      <c r="K752" s="8"/>
      <c r="L752" s="8"/>
      <c r="O752" s="8"/>
      <c r="Q752" s="8"/>
      <c r="R752" s="8"/>
      <c r="S752" s="8"/>
    </row>
    <row r="753" ht="15.75" customHeight="1">
      <c r="K753" s="8"/>
      <c r="L753" s="8"/>
      <c r="O753" s="8"/>
      <c r="Q753" s="8"/>
      <c r="R753" s="8"/>
      <c r="S753" s="8"/>
    </row>
    <row r="754" ht="15.75" customHeight="1">
      <c r="K754" s="8"/>
      <c r="L754" s="8"/>
      <c r="O754" s="8"/>
      <c r="Q754" s="8"/>
      <c r="R754" s="8"/>
      <c r="S754" s="8"/>
    </row>
    <row r="755" ht="15.75" customHeight="1">
      <c r="K755" s="8"/>
      <c r="L755" s="8"/>
      <c r="O755" s="8"/>
      <c r="Q755" s="8"/>
      <c r="R755" s="8"/>
      <c r="S755" s="8"/>
    </row>
    <row r="756" ht="15.75" customHeight="1">
      <c r="K756" s="8"/>
      <c r="L756" s="8"/>
      <c r="O756" s="8"/>
      <c r="Q756" s="8"/>
      <c r="R756" s="8"/>
      <c r="S756" s="8"/>
    </row>
    <row r="757" ht="15.75" customHeight="1">
      <c r="K757" s="8"/>
      <c r="L757" s="8"/>
      <c r="O757" s="8"/>
      <c r="Q757" s="8"/>
      <c r="R757" s="8"/>
      <c r="S757" s="8"/>
    </row>
    <row r="758" ht="15.75" customHeight="1">
      <c r="K758" s="8"/>
      <c r="L758" s="8"/>
      <c r="O758" s="8"/>
      <c r="Q758" s="8"/>
      <c r="R758" s="8"/>
      <c r="S758" s="8"/>
    </row>
    <row r="759" ht="15.75" customHeight="1">
      <c r="K759" s="8"/>
      <c r="L759" s="8"/>
      <c r="O759" s="8"/>
      <c r="Q759" s="8"/>
      <c r="R759" s="8"/>
      <c r="S759" s="8"/>
    </row>
    <row r="760" ht="15.75" customHeight="1">
      <c r="K760" s="8"/>
      <c r="L760" s="8"/>
      <c r="O760" s="8"/>
      <c r="Q760" s="8"/>
      <c r="R760" s="8"/>
      <c r="S760" s="8"/>
    </row>
    <row r="761" ht="15.75" customHeight="1">
      <c r="K761" s="8"/>
      <c r="L761" s="8"/>
      <c r="O761" s="8"/>
      <c r="Q761" s="8"/>
      <c r="R761" s="8"/>
      <c r="S761" s="8"/>
    </row>
    <row r="762" ht="15.75" customHeight="1">
      <c r="K762" s="8"/>
      <c r="L762" s="8"/>
      <c r="O762" s="8"/>
      <c r="Q762" s="8"/>
      <c r="R762" s="8"/>
      <c r="S762" s="8"/>
    </row>
    <row r="763" ht="15.75" customHeight="1">
      <c r="K763" s="8"/>
      <c r="L763" s="8"/>
      <c r="O763" s="8"/>
      <c r="Q763" s="8"/>
      <c r="R763" s="8"/>
      <c r="S763" s="8"/>
    </row>
    <row r="764" ht="15.75" customHeight="1">
      <c r="K764" s="8"/>
      <c r="L764" s="8"/>
      <c r="O764" s="8"/>
      <c r="Q764" s="8"/>
      <c r="R764" s="8"/>
      <c r="S764" s="8"/>
    </row>
    <row r="765" ht="15.75" customHeight="1">
      <c r="K765" s="8"/>
      <c r="L765" s="8"/>
      <c r="O765" s="8"/>
      <c r="Q765" s="8"/>
      <c r="R765" s="8"/>
      <c r="S765" s="8"/>
    </row>
    <row r="766" ht="15.75" customHeight="1">
      <c r="K766" s="8"/>
      <c r="L766" s="8"/>
      <c r="O766" s="8"/>
      <c r="Q766" s="8"/>
      <c r="R766" s="8"/>
      <c r="S766" s="8"/>
    </row>
    <row r="767" ht="15.75" customHeight="1">
      <c r="K767" s="8"/>
      <c r="L767" s="8"/>
      <c r="O767" s="8"/>
      <c r="Q767" s="8"/>
      <c r="R767" s="8"/>
      <c r="S767" s="8"/>
    </row>
    <row r="768" ht="15.75" customHeight="1">
      <c r="K768" s="8"/>
      <c r="L768" s="8"/>
      <c r="O768" s="8"/>
      <c r="Q768" s="8"/>
      <c r="R768" s="8"/>
      <c r="S768" s="8"/>
    </row>
    <row r="769" ht="15.75" customHeight="1">
      <c r="K769" s="8"/>
      <c r="L769" s="8"/>
      <c r="O769" s="8"/>
      <c r="Q769" s="8"/>
      <c r="R769" s="8"/>
      <c r="S769" s="8"/>
    </row>
    <row r="770" ht="15.75" customHeight="1">
      <c r="K770" s="8"/>
      <c r="L770" s="8"/>
      <c r="O770" s="8"/>
      <c r="Q770" s="8"/>
      <c r="R770" s="8"/>
      <c r="S770" s="8"/>
    </row>
    <row r="771" ht="15.75" customHeight="1">
      <c r="K771" s="8"/>
      <c r="L771" s="8"/>
      <c r="O771" s="8"/>
      <c r="Q771" s="8"/>
      <c r="R771" s="8"/>
      <c r="S771" s="8"/>
    </row>
    <row r="772" ht="15.75" customHeight="1">
      <c r="K772" s="8"/>
      <c r="L772" s="8"/>
      <c r="O772" s="8"/>
      <c r="Q772" s="8"/>
      <c r="R772" s="8"/>
      <c r="S772" s="8"/>
    </row>
    <row r="773" ht="15.75" customHeight="1">
      <c r="K773" s="8"/>
      <c r="L773" s="8"/>
      <c r="O773" s="8"/>
      <c r="Q773" s="8"/>
      <c r="R773" s="8"/>
      <c r="S773" s="8"/>
    </row>
    <row r="774" ht="15.75" customHeight="1">
      <c r="K774" s="8"/>
      <c r="L774" s="8"/>
      <c r="O774" s="8"/>
      <c r="Q774" s="8"/>
      <c r="R774" s="8"/>
      <c r="S774" s="8"/>
    </row>
    <row r="775" ht="15.75" customHeight="1">
      <c r="K775" s="8"/>
      <c r="L775" s="8"/>
      <c r="O775" s="8"/>
      <c r="Q775" s="8"/>
      <c r="R775" s="8"/>
      <c r="S775" s="8"/>
    </row>
    <row r="776" ht="15.75" customHeight="1">
      <c r="K776" s="8"/>
      <c r="L776" s="8"/>
      <c r="O776" s="8"/>
      <c r="Q776" s="8"/>
      <c r="R776" s="8"/>
      <c r="S776" s="8"/>
    </row>
    <row r="777" ht="15.75" customHeight="1">
      <c r="K777" s="8"/>
      <c r="L777" s="8"/>
      <c r="O777" s="8"/>
      <c r="Q777" s="8"/>
      <c r="R777" s="8"/>
      <c r="S777" s="8"/>
    </row>
    <row r="778" ht="15.75" customHeight="1">
      <c r="K778" s="8"/>
      <c r="L778" s="8"/>
      <c r="O778" s="8"/>
      <c r="Q778" s="8"/>
      <c r="R778" s="8"/>
      <c r="S778" s="8"/>
    </row>
    <row r="779" ht="15.75" customHeight="1">
      <c r="K779" s="8"/>
      <c r="L779" s="8"/>
      <c r="O779" s="8"/>
      <c r="Q779" s="8"/>
      <c r="R779" s="8"/>
      <c r="S779" s="8"/>
    </row>
    <row r="780" ht="15.75" customHeight="1">
      <c r="K780" s="8"/>
      <c r="L780" s="8"/>
      <c r="O780" s="8"/>
      <c r="Q780" s="8"/>
      <c r="R780" s="8"/>
      <c r="S780" s="8"/>
    </row>
    <row r="781" ht="15.75" customHeight="1">
      <c r="K781" s="8"/>
      <c r="L781" s="8"/>
      <c r="O781" s="8"/>
      <c r="Q781" s="8"/>
      <c r="R781" s="8"/>
      <c r="S781" s="8"/>
    </row>
    <row r="782" ht="15.75" customHeight="1">
      <c r="K782" s="8"/>
      <c r="L782" s="8"/>
      <c r="O782" s="8"/>
      <c r="Q782" s="8"/>
      <c r="R782" s="8"/>
      <c r="S782" s="8"/>
    </row>
    <row r="783" ht="15.75" customHeight="1">
      <c r="K783" s="8"/>
      <c r="L783" s="8"/>
      <c r="O783" s="8"/>
      <c r="Q783" s="8"/>
      <c r="R783" s="8"/>
      <c r="S783" s="8"/>
    </row>
    <row r="784" ht="15.75" customHeight="1">
      <c r="K784" s="8"/>
      <c r="L784" s="8"/>
      <c r="O784" s="8"/>
      <c r="Q784" s="8"/>
      <c r="R784" s="8"/>
      <c r="S784" s="8"/>
    </row>
    <row r="785" ht="15.75" customHeight="1">
      <c r="K785" s="8"/>
      <c r="L785" s="8"/>
      <c r="O785" s="8"/>
      <c r="Q785" s="8"/>
      <c r="R785" s="8"/>
      <c r="S785" s="8"/>
    </row>
    <row r="786" ht="15.75" customHeight="1">
      <c r="K786" s="8"/>
      <c r="L786" s="8"/>
      <c r="O786" s="8"/>
      <c r="Q786" s="8"/>
      <c r="R786" s="8"/>
      <c r="S786" s="8"/>
    </row>
    <row r="787" ht="15.75" customHeight="1">
      <c r="K787" s="8"/>
      <c r="L787" s="8"/>
      <c r="O787" s="8"/>
      <c r="Q787" s="8"/>
      <c r="R787" s="8"/>
      <c r="S787" s="8"/>
    </row>
    <row r="788" ht="15.75" customHeight="1">
      <c r="K788" s="8"/>
      <c r="L788" s="8"/>
      <c r="O788" s="8"/>
      <c r="Q788" s="8"/>
      <c r="R788" s="8"/>
      <c r="S788" s="8"/>
    </row>
    <row r="789" ht="15.75" customHeight="1">
      <c r="K789" s="8"/>
      <c r="L789" s="8"/>
      <c r="O789" s="8"/>
      <c r="Q789" s="8"/>
      <c r="R789" s="8"/>
      <c r="S789" s="8"/>
    </row>
    <row r="790" ht="15.75" customHeight="1">
      <c r="K790" s="8"/>
      <c r="L790" s="8"/>
      <c r="O790" s="8"/>
      <c r="Q790" s="8"/>
      <c r="R790" s="8"/>
      <c r="S790" s="8"/>
    </row>
    <row r="791" ht="15.75" customHeight="1">
      <c r="K791" s="8"/>
      <c r="L791" s="8"/>
      <c r="O791" s="8"/>
      <c r="Q791" s="8"/>
      <c r="R791" s="8"/>
      <c r="S791" s="8"/>
    </row>
    <row r="792" ht="15.75" customHeight="1">
      <c r="K792" s="8"/>
      <c r="L792" s="8"/>
      <c r="O792" s="8"/>
      <c r="Q792" s="8"/>
      <c r="R792" s="8"/>
      <c r="S792" s="8"/>
    </row>
    <row r="793" ht="15.75" customHeight="1">
      <c r="K793" s="8"/>
      <c r="L793" s="8"/>
      <c r="O793" s="8"/>
      <c r="Q793" s="8"/>
      <c r="R793" s="8"/>
      <c r="S793" s="8"/>
    </row>
    <row r="794" ht="15.75" customHeight="1">
      <c r="K794" s="8"/>
      <c r="L794" s="8"/>
      <c r="O794" s="8"/>
      <c r="Q794" s="8"/>
      <c r="R794" s="8"/>
      <c r="S794" s="8"/>
    </row>
    <row r="795" ht="15.75" customHeight="1">
      <c r="K795" s="8"/>
      <c r="L795" s="8"/>
      <c r="O795" s="8"/>
      <c r="Q795" s="8"/>
      <c r="R795" s="8"/>
      <c r="S795" s="8"/>
    </row>
    <row r="796" ht="15.75" customHeight="1">
      <c r="K796" s="8"/>
      <c r="L796" s="8"/>
      <c r="O796" s="8"/>
      <c r="Q796" s="8"/>
      <c r="R796" s="8"/>
      <c r="S796" s="8"/>
    </row>
    <row r="797" ht="15.75" customHeight="1">
      <c r="K797" s="8"/>
      <c r="L797" s="8"/>
      <c r="O797" s="8"/>
      <c r="Q797" s="8"/>
      <c r="R797" s="8"/>
      <c r="S797" s="8"/>
    </row>
    <row r="798" ht="15.75" customHeight="1">
      <c r="K798" s="8"/>
      <c r="L798" s="8"/>
      <c r="O798" s="8"/>
      <c r="Q798" s="8"/>
      <c r="R798" s="8"/>
      <c r="S798" s="8"/>
    </row>
    <row r="799" ht="15.75" customHeight="1">
      <c r="K799" s="8"/>
      <c r="L799" s="8"/>
      <c r="O799" s="8"/>
      <c r="Q799" s="8"/>
      <c r="R799" s="8"/>
      <c r="S799" s="8"/>
    </row>
    <row r="800" ht="15.75" customHeight="1">
      <c r="K800" s="8"/>
      <c r="L800" s="8"/>
      <c r="O800" s="8"/>
      <c r="Q800" s="8"/>
      <c r="R800" s="8"/>
      <c r="S800" s="8"/>
    </row>
    <row r="801" ht="15.75" customHeight="1">
      <c r="K801" s="8"/>
      <c r="L801" s="8"/>
      <c r="O801" s="8"/>
      <c r="Q801" s="8"/>
      <c r="R801" s="8"/>
      <c r="S801" s="8"/>
    </row>
    <row r="802" ht="15.75" customHeight="1">
      <c r="K802" s="8"/>
      <c r="L802" s="8"/>
      <c r="O802" s="8"/>
      <c r="Q802" s="8"/>
      <c r="R802" s="8"/>
      <c r="S802" s="8"/>
    </row>
    <row r="803" ht="15.75" customHeight="1">
      <c r="K803" s="8"/>
      <c r="L803" s="8"/>
      <c r="O803" s="8"/>
      <c r="Q803" s="8"/>
      <c r="R803" s="8"/>
      <c r="S803" s="8"/>
    </row>
    <row r="804" ht="15.75" customHeight="1">
      <c r="K804" s="8"/>
      <c r="L804" s="8"/>
      <c r="O804" s="8"/>
      <c r="Q804" s="8"/>
      <c r="R804" s="8"/>
      <c r="S804" s="8"/>
    </row>
    <row r="805" ht="15.75" customHeight="1">
      <c r="K805" s="8"/>
      <c r="L805" s="8"/>
      <c r="O805" s="8"/>
      <c r="Q805" s="8"/>
      <c r="R805" s="8"/>
      <c r="S805" s="8"/>
    </row>
    <row r="806" ht="15.75" customHeight="1">
      <c r="K806" s="8"/>
      <c r="L806" s="8"/>
      <c r="O806" s="8"/>
      <c r="Q806" s="8"/>
      <c r="R806" s="8"/>
      <c r="S806" s="8"/>
    </row>
    <row r="807" ht="15.75" customHeight="1">
      <c r="K807" s="8"/>
      <c r="L807" s="8"/>
      <c r="O807" s="8"/>
      <c r="Q807" s="8"/>
      <c r="R807" s="8"/>
      <c r="S807" s="8"/>
    </row>
    <row r="808" ht="15.75" customHeight="1">
      <c r="K808" s="8"/>
      <c r="L808" s="8"/>
      <c r="O808" s="8"/>
      <c r="Q808" s="8"/>
      <c r="R808" s="8"/>
      <c r="S808" s="8"/>
    </row>
    <row r="809" ht="15.75" customHeight="1">
      <c r="K809" s="8"/>
      <c r="L809" s="8"/>
      <c r="O809" s="8"/>
      <c r="Q809" s="8"/>
      <c r="R809" s="8"/>
      <c r="S809" s="8"/>
    </row>
    <row r="810" ht="15.75" customHeight="1">
      <c r="K810" s="8"/>
      <c r="L810" s="8"/>
      <c r="O810" s="8"/>
      <c r="Q810" s="8"/>
      <c r="R810" s="8"/>
      <c r="S810" s="8"/>
    </row>
    <row r="811" ht="15.75" customHeight="1">
      <c r="K811" s="8"/>
      <c r="L811" s="8"/>
      <c r="O811" s="8"/>
      <c r="Q811" s="8"/>
      <c r="R811" s="8"/>
      <c r="S811" s="8"/>
    </row>
    <row r="812" ht="15.75" customHeight="1">
      <c r="K812" s="8"/>
      <c r="L812" s="8"/>
      <c r="O812" s="8"/>
      <c r="Q812" s="8"/>
      <c r="R812" s="8"/>
      <c r="S812" s="8"/>
    </row>
    <row r="813" ht="15.75" customHeight="1">
      <c r="K813" s="8"/>
      <c r="L813" s="8"/>
      <c r="O813" s="8"/>
      <c r="Q813" s="8"/>
      <c r="R813" s="8"/>
      <c r="S813" s="8"/>
    </row>
    <row r="814" ht="15.75" customHeight="1">
      <c r="K814" s="8"/>
      <c r="L814" s="8"/>
      <c r="O814" s="8"/>
      <c r="Q814" s="8"/>
      <c r="R814" s="8"/>
      <c r="S814" s="8"/>
    </row>
    <row r="815" ht="15.75" customHeight="1">
      <c r="K815" s="8"/>
      <c r="L815" s="8"/>
      <c r="O815" s="8"/>
      <c r="Q815" s="8"/>
      <c r="R815" s="8"/>
      <c r="S815" s="8"/>
    </row>
    <row r="816" ht="15.75" customHeight="1">
      <c r="K816" s="8"/>
      <c r="L816" s="8"/>
      <c r="O816" s="8"/>
      <c r="Q816" s="8"/>
      <c r="R816" s="8"/>
      <c r="S816" s="8"/>
    </row>
    <row r="817" ht="15.75" customHeight="1">
      <c r="K817" s="8"/>
      <c r="L817" s="8"/>
      <c r="O817" s="8"/>
      <c r="Q817" s="8"/>
      <c r="R817" s="8"/>
      <c r="S817" s="8"/>
    </row>
    <row r="818" ht="15.75" customHeight="1">
      <c r="K818" s="8"/>
      <c r="L818" s="8"/>
      <c r="O818" s="8"/>
      <c r="Q818" s="8"/>
      <c r="R818" s="8"/>
      <c r="S818" s="8"/>
    </row>
    <row r="819" ht="15.75" customHeight="1">
      <c r="K819" s="8"/>
      <c r="L819" s="8"/>
      <c r="O819" s="8"/>
      <c r="Q819" s="8"/>
      <c r="R819" s="8"/>
      <c r="S819" s="8"/>
    </row>
    <row r="820" ht="15.75" customHeight="1">
      <c r="K820" s="8"/>
      <c r="L820" s="8"/>
      <c r="O820" s="8"/>
      <c r="Q820" s="8"/>
      <c r="R820" s="8"/>
      <c r="S820" s="8"/>
    </row>
    <row r="821" ht="15.75" customHeight="1">
      <c r="K821" s="8"/>
      <c r="L821" s="8"/>
      <c r="O821" s="8"/>
      <c r="Q821" s="8"/>
      <c r="R821" s="8"/>
      <c r="S821" s="8"/>
    </row>
    <row r="822" ht="15.75" customHeight="1">
      <c r="K822" s="8"/>
      <c r="L822" s="8"/>
      <c r="O822" s="8"/>
      <c r="Q822" s="8"/>
      <c r="R822" s="8"/>
      <c r="S822" s="8"/>
    </row>
    <row r="823" ht="15.75" customHeight="1">
      <c r="K823" s="8"/>
      <c r="L823" s="8"/>
      <c r="O823" s="8"/>
      <c r="Q823" s="8"/>
      <c r="R823" s="8"/>
      <c r="S823" s="8"/>
    </row>
    <row r="824" ht="15.75" customHeight="1">
      <c r="K824" s="8"/>
      <c r="L824" s="8"/>
      <c r="O824" s="8"/>
      <c r="Q824" s="8"/>
      <c r="R824" s="8"/>
      <c r="S824" s="8"/>
    </row>
    <row r="825" ht="15.75" customHeight="1">
      <c r="K825" s="8"/>
      <c r="L825" s="8"/>
      <c r="O825" s="8"/>
      <c r="Q825" s="8"/>
      <c r="R825" s="8"/>
      <c r="S825" s="8"/>
    </row>
    <row r="826" ht="15.75" customHeight="1">
      <c r="K826" s="8"/>
      <c r="L826" s="8"/>
      <c r="O826" s="8"/>
      <c r="Q826" s="8"/>
      <c r="R826" s="8"/>
      <c r="S826" s="8"/>
    </row>
    <row r="827" ht="15.75" customHeight="1">
      <c r="K827" s="8"/>
      <c r="L827" s="8"/>
      <c r="O827" s="8"/>
      <c r="Q827" s="8"/>
      <c r="R827" s="8"/>
      <c r="S827" s="8"/>
    </row>
    <row r="828" ht="15.75" customHeight="1">
      <c r="K828" s="8"/>
      <c r="L828" s="8"/>
      <c r="O828" s="8"/>
      <c r="Q828" s="8"/>
      <c r="R828" s="8"/>
      <c r="S828" s="8"/>
    </row>
    <row r="829" ht="15.75" customHeight="1">
      <c r="K829" s="8"/>
      <c r="L829" s="8"/>
      <c r="O829" s="8"/>
      <c r="Q829" s="8"/>
      <c r="R829" s="8"/>
      <c r="S829" s="8"/>
    </row>
    <row r="830" ht="15.75" customHeight="1">
      <c r="K830" s="8"/>
      <c r="L830" s="8"/>
      <c r="O830" s="8"/>
      <c r="Q830" s="8"/>
      <c r="R830" s="8"/>
      <c r="S830" s="8"/>
    </row>
    <row r="831" ht="15.75" customHeight="1">
      <c r="K831" s="8"/>
      <c r="L831" s="8"/>
      <c r="O831" s="8"/>
      <c r="Q831" s="8"/>
      <c r="R831" s="8"/>
      <c r="S831" s="8"/>
    </row>
    <row r="832" ht="15.75" customHeight="1">
      <c r="K832" s="8"/>
      <c r="L832" s="8"/>
      <c r="O832" s="8"/>
      <c r="Q832" s="8"/>
      <c r="R832" s="8"/>
      <c r="S832" s="8"/>
    </row>
    <row r="833" ht="15.75" customHeight="1">
      <c r="K833" s="8"/>
      <c r="L833" s="8"/>
      <c r="O833" s="8"/>
      <c r="Q833" s="8"/>
      <c r="R833" s="8"/>
      <c r="S833" s="8"/>
    </row>
    <row r="834" ht="15.75" customHeight="1">
      <c r="K834" s="8"/>
      <c r="L834" s="8"/>
      <c r="O834" s="8"/>
      <c r="Q834" s="8"/>
      <c r="R834" s="8"/>
      <c r="S834" s="8"/>
    </row>
    <row r="835" ht="15.75" customHeight="1">
      <c r="K835" s="8"/>
      <c r="L835" s="8"/>
      <c r="O835" s="8"/>
      <c r="Q835" s="8"/>
      <c r="R835" s="8"/>
      <c r="S835" s="8"/>
    </row>
    <row r="836" ht="15.75" customHeight="1">
      <c r="K836" s="8"/>
      <c r="L836" s="8"/>
      <c r="O836" s="8"/>
      <c r="Q836" s="8"/>
      <c r="R836" s="8"/>
      <c r="S836" s="8"/>
    </row>
    <row r="837" ht="15.75" customHeight="1">
      <c r="K837" s="8"/>
      <c r="L837" s="8"/>
      <c r="O837" s="8"/>
      <c r="Q837" s="8"/>
      <c r="R837" s="8"/>
      <c r="S837" s="8"/>
    </row>
    <row r="838" ht="15.75" customHeight="1">
      <c r="K838" s="8"/>
      <c r="L838" s="8"/>
      <c r="O838" s="8"/>
      <c r="Q838" s="8"/>
      <c r="R838" s="8"/>
      <c r="S838" s="8"/>
    </row>
    <row r="839" ht="15.75" customHeight="1">
      <c r="K839" s="8"/>
      <c r="L839" s="8"/>
      <c r="O839" s="8"/>
      <c r="Q839" s="8"/>
      <c r="R839" s="8"/>
      <c r="S839" s="8"/>
    </row>
    <row r="840" ht="15.75" customHeight="1">
      <c r="K840" s="8"/>
      <c r="L840" s="8"/>
      <c r="O840" s="8"/>
      <c r="Q840" s="8"/>
      <c r="R840" s="8"/>
      <c r="S840" s="8"/>
    </row>
    <row r="841" ht="15.75" customHeight="1">
      <c r="K841" s="8"/>
      <c r="L841" s="8"/>
      <c r="O841" s="8"/>
      <c r="Q841" s="8"/>
      <c r="R841" s="8"/>
      <c r="S841" s="8"/>
    </row>
    <row r="842" ht="15.75" customHeight="1">
      <c r="K842" s="8"/>
      <c r="L842" s="8"/>
      <c r="O842" s="8"/>
      <c r="Q842" s="8"/>
      <c r="R842" s="8"/>
      <c r="S842" s="8"/>
    </row>
    <row r="843" ht="15.75" customHeight="1">
      <c r="K843" s="8"/>
      <c r="L843" s="8"/>
      <c r="O843" s="8"/>
      <c r="Q843" s="8"/>
      <c r="R843" s="8"/>
      <c r="S843" s="8"/>
    </row>
    <row r="844" ht="15.75" customHeight="1">
      <c r="K844" s="8"/>
      <c r="L844" s="8"/>
      <c r="O844" s="8"/>
      <c r="Q844" s="8"/>
      <c r="R844" s="8"/>
      <c r="S844" s="8"/>
    </row>
    <row r="845" ht="15.75" customHeight="1">
      <c r="K845" s="8"/>
      <c r="L845" s="8"/>
      <c r="O845" s="8"/>
      <c r="Q845" s="8"/>
      <c r="R845" s="8"/>
      <c r="S845" s="8"/>
    </row>
    <row r="846" ht="15.75" customHeight="1">
      <c r="K846" s="8"/>
      <c r="L846" s="8"/>
      <c r="O846" s="8"/>
      <c r="Q846" s="8"/>
      <c r="R846" s="8"/>
      <c r="S846" s="8"/>
    </row>
    <row r="847" ht="15.75" customHeight="1">
      <c r="K847" s="8"/>
      <c r="L847" s="8"/>
      <c r="O847" s="8"/>
      <c r="Q847" s="8"/>
      <c r="R847" s="8"/>
      <c r="S847" s="8"/>
    </row>
    <row r="848" ht="15.75" customHeight="1">
      <c r="K848" s="8"/>
      <c r="L848" s="8"/>
      <c r="O848" s="8"/>
      <c r="Q848" s="8"/>
      <c r="R848" s="8"/>
      <c r="S848" s="8"/>
    </row>
    <row r="849" ht="15.75" customHeight="1">
      <c r="K849" s="8"/>
      <c r="L849" s="8"/>
      <c r="O849" s="8"/>
      <c r="Q849" s="8"/>
      <c r="R849" s="8"/>
      <c r="S849" s="8"/>
    </row>
    <row r="850" ht="15.75" customHeight="1">
      <c r="K850" s="8"/>
      <c r="L850" s="8"/>
      <c r="O850" s="8"/>
      <c r="Q850" s="8"/>
      <c r="R850" s="8"/>
      <c r="S850" s="8"/>
    </row>
    <row r="851" ht="15.75" customHeight="1">
      <c r="K851" s="8"/>
      <c r="L851" s="8"/>
      <c r="O851" s="8"/>
      <c r="Q851" s="8"/>
      <c r="R851" s="8"/>
      <c r="S851" s="8"/>
    </row>
    <row r="852" ht="15.75" customHeight="1">
      <c r="K852" s="8"/>
      <c r="L852" s="8"/>
      <c r="O852" s="8"/>
      <c r="Q852" s="8"/>
      <c r="R852" s="8"/>
      <c r="S852" s="8"/>
    </row>
    <row r="853" ht="15.75" customHeight="1">
      <c r="K853" s="8"/>
      <c r="L853" s="8"/>
      <c r="O853" s="8"/>
      <c r="Q853" s="8"/>
      <c r="R853" s="8"/>
      <c r="S853" s="8"/>
    </row>
    <row r="854" ht="15.75" customHeight="1">
      <c r="K854" s="8"/>
      <c r="L854" s="8"/>
      <c r="O854" s="8"/>
      <c r="Q854" s="8"/>
      <c r="R854" s="8"/>
      <c r="S854" s="8"/>
    </row>
    <row r="855" ht="15.75" customHeight="1">
      <c r="K855" s="8"/>
      <c r="L855" s="8"/>
      <c r="O855" s="8"/>
      <c r="Q855" s="8"/>
      <c r="R855" s="8"/>
      <c r="S855" s="8"/>
    </row>
    <row r="856" ht="15.75" customHeight="1">
      <c r="K856" s="8"/>
      <c r="L856" s="8"/>
      <c r="O856" s="8"/>
      <c r="Q856" s="8"/>
      <c r="R856" s="8"/>
      <c r="S856" s="8"/>
    </row>
    <row r="857" ht="15.75" customHeight="1">
      <c r="K857" s="8"/>
      <c r="L857" s="8"/>
      <c r="O857" s="8"/>
      <c r="Q857" s="8"/>
      <c r="R857" s="8"/>
      <c r="S857" s="8"/>
    </row>
    <row r="858" ht="15.75" customHeight="1">
      <c r="K858" s="8"/>
      <c r="L858" s="8"/>
      <c r="O858" s="8"/>
      <c r="Q858" s="8"/>
      <c r="R858" s="8"/>
      <c r="S858" s="8"/>
    </row>
    <row r="859" ht="15.75" customHeight="1">
      <c r="K859" s="8"/>
      <c r="L859" s="8"/>
      <c r="O859" s="8"/>
      <c r="Q859" s="8"/>
      <c r="R859" s="8"/>
      <c r="S859" s="8"/>
    </row>
    <row r="860" ht="15.75" customHeight="1">
      <c r="K860" s="8"/>
      <c r="L860" s="8"/>
      <c r="O860" s="8"/>
      <c r="Q860" s="8"/>
      <c r="R860" s="8"/>
      <c r="S860" s="8"/>
    </row>
    <row r="861" ht="15.75" customHeight="1">
      <c r="K861" s="8"/>
      <c r="L861" s="8"/>
      <c r="O861" s="8"/>
      <c r="Q861" s="8"/>
      <c r="R861" s="8"/>
      <c r="S861" s="8"/>
    </row>
    <row r="862" ht="15.75" customHeight="1">
      <c r="K862" s="8"/>
      <c r="L862" s="8"/>
      <c r="O862" s="8"/>
      <c r="Q862" s="8"/>
      <c r="R862" s="8"/>
      <c r="S862" s="8"/>
    </row>
    <row r="863" ht="15.75" customHeight="1">
      <c r="K863" s="8"/>
      <c r="L863" s="8"/>
      <c r="O863" s="8"/>
      <c r="Q863" s="8"/>
      <c r="R863" s="8"/>
      <c r="S863" s="8"/>
    </row>
    <row r="864" ht="15.75" customHeight="1">
      <c r="K864" s="8"/>
      <c r="L864" s="8"/>
      <c r="O864" s="8"/>
      <c r="Q864" s="8"/>
      <c r="R864" s="8"/>
      <c r="S864" s="8"/>
    </row>
    <row r="865" ht="15.75" customHeight="1">
      <c r="K865" s="8"/>
      <c r="L865" s="8"/>
      <c r="O865" s="8"/>
      <c r="Q865" s="8"/>
      <c r="R865" s="8"/>
      <c r="S865" s="8"/>
    </row>
    <row r="866" ht="15.75" customHeight="1">
      <c r="K866" s="8"/>
      <c r="L866" s="8"/>
      <c r="O866" s="8"/>
      <c r="Q866" s="8"/>
      <c r="R866" s="8"/>
      <c r="S866" s="8"/>
    </row>
    <row r="867" ht="15.75" customHeight="1">
      <c r="K867" s="8"/>
      <c r="L867" s="8"/>
      <c r="O867" s="8"/>
      <c r="Q867" s="8"/>
      <c r="R867" s="8"/>
      <c r="S867" s="8"/>
    </row>
    <row r="868" ht="15.75" customHeight="1">
      <c r="K868" s="8"/>
      <c r="L868" s="8"/>
      <c r="O868" s="8"/>
      <c r="Q868" s="8"/>
      <c r="R868" s="8"/>
      <c r="S868" s="8"/>
    </row>
    <row r="869" ht="15.75" customHeight="1">
      <c r="K869" s="8"/>
      <c r="L869" s="8"/>
      <c r="O869" s="8"/>
      <c r="Q869" s="8"/>
      <c r="R869" s="8"/>
      <c r="S869" s="8"/>
    </row>
    <row r="870" ht="15.75" customHeight="1">
      <c r="K870" s="8"/>
      <c r="L870" s="8"/>
      <c r="O870" s="8"/>
      <c r="Q870" s="8"/>
      <c r="R870" s="8"/>
      <c r="S870" s="8"/>
    </row>
    <row r="871" ht="15.75" customHeight="1">
      <c r="K871" s="8"/>
      <c r="L871" s="8"/>
      <c r="O871" s="8"/>
      <c r="Q871" s="8"/>
      <c r="R871" s="8"/>
      <c r="S871" s="8"/>
    </row>
    <row r="872" ht="15.75" customHeight="1">
      <c r="K872" s="8"/>
      <c r="L872" s="8"/>
      <c r="O872" s="8"/>
      <c r="Q872" s="8"/>
      <c r="R872" s="8"/>
      <c r="S872" s="8"/>
    </row>
    <row r="873" ht="15.75" customHeight="1">
      <c r="K873" s="8"/>
      <c r="L873" s="8"/>
      <c r="O873" s="8"/>
      <c r="Q873" s="8"/>
      <c r="R873" s="8"/>
      <c r="S873" s="8"/>
    </row>
    <row r="874" ht="15.75" customHeight="1">
      <c r="K874" s="8"/>
      <c r="L874" s="8"/>
      <c r="O874" s="8"/>
      <c r="Q874" s="8"/>
      <c r="R874" s="8"/>
      <c r="S874" s="8"/>
    </row>
    <row r="875" ht="15.75" customHeight="1">
      <c r="K875" s="8"/>
      <c r="L875" s="8"/>
      <c r="O875" s="8"/>
      <c r="Q875" s="8"/>
      <c r="R875" s="8"/>
      <c r="S875" s="8"/>
    </row>
    <row r="876" ht="15.75" customHeight="1">
      <c r="K876" s="8"/>
      <c r="L876" s="8"/>
      <c r="O876" s="8"/>
      <c r="Q876" s="8"/>
      <c r="R876" s="8"/>
      <c r="S876" s="8"/>
    </row>
    <row r="877" ht="15.75" customHeight="1">
      <c r="K877" s="8"/>
      <c r="L877" s="8"/>
      <c r="O877" s="8"/>
      <c r="Q877" s="8"/>
      <c r="R877" s="8"/>
      <c r="S877" s="8"/>
    </row>
    <row r="878" ht="15.75" customHeight="1">
      <c r="K878" s="8"/>
      <c r="L878" s="8"/>
      <c r="O878" s="8"/>
      <c r="Q878" s="8"/>
      <c r="R878" s="8"/>
      <c r="S878" s="8"/>
    </row>
    <row r="879" ht="15.75" customHeight="1">
      <c r="K879" s="8"/>
      <c r="L879" s="8"/>
      <c r="O879" s="8"/>
      <c r="Q879" s="8"/>
      <c r="R879" s="8"/>
      <c r="S879" s="8"/>
    </row>
    <row r="880" ht="15.75" customHeight="1">
      <c r="K880" s="8"/>
      <c r="L880" s="8"/>
      <c r="O880" s="8"/>
      <c r="Q880" s="8"/>
      <c r="R880" s="8"/>
      <c r="S880" s="8"/>
    </row>
    <row r="881" ht="15.75" customHeight="1">
      <c r="K881" s="8"/>
      <c r="L881" s="8"/>
      <c r="O881" s="8"/>
      <c r="Q881" s="8"/>
      <c r="R881" s="8"/>
      <c r="S881" s="8"/>
    </row>
    <row r="882" ht="15.75" customHeight="1">
      <c r="K882" s="8"/>
      <c r="L882" s="8"/>
      <c r="O882" s="8"/>
      <c r="Q882" s="8"/>
      <c r="R882" s="8"/>
      <c r="S882" s="8"/>
    </row>
    <row r="883" ht="15.75" customHeight="1">
      <c r="K883" s="8"/>
      <c r="L883" s="8"/>
      <c r="O883" s="8"/>
      <c r="Q883" s="8"/>
      <c r="R883" s="8"/>
      <c r="S883" s="8"/>
    </row>
    <row r="884" ht="15.75" customHeight="1">
      <c r="K884" s="8"/>
      <c r="L884" s="8"/>
      <c r="O884" s="8"/>
      <c r="Q884" s="8"/>
      <c r="R884" s="8"/>
      <c r="S884" s="8"/>
    </row>
    <row r="885" ht="15.75" customHeight="1">
      <c r="K885" s="8"/>
      <c r="L885" s="8"/>
      <c r="O885" s="8"/>
      <c r="Q885" s="8"/>
      <c r="R885" s="8"/>
      <c r="S885" s="8"/>
    </row>
    <row r="886" ht="15.75" customHeight="1">
      <c r="K886" s="8"/>
      <c r="L886" s="8"/>
      <c r="O886" s="8"/>
      <c r="Q886" s="8"/>
      <c r="R886" s="8"/>
      <c r="S886" s="8"/>
    </row>
    <row r="887" ht="15.75" customHeight="1">
      <c r="K887" s="8"/>
      <c r="L887" s="8"/>
      <c r="O887" s="8"/>
      <c r="Q887" s="8"/>
      <c r="R887" s="8"/>
      <c r="S887" s="8"/>
    </row>
    <row r="888" ht="15.75" customHeight="1">
      <c r="K888" s="8"/>
      <c r="L888" s="8"/>
      <c r="O888" s="8"/>
      <c r="Q888" s="8"/>
      <c r="R888" s="8"/>
      <c r="S888" s="8"/>
    </row>
    <row r="889" ht="15.75" customHeight="1">
      <c r="K889" s="8"/>
      <c r="L889" s="8"/>
      <c r="O889" s="8"/>
      <c r="Q889" s="8"/>
      <c r="R889" s="8"/>
      <c r="S889" s="8"/>
    </row>
    <row r="890" ht="15.75" customHeight="1">
      <c r="K890" s="8"/>
      <c r="L890" s="8"/>
      <c r="O890" s="8"/>
      <c r="Q890" s="8"/>
      <c r="R890" s="8"/>
      <c r="S890" s="8"/>
    </row>
    <row r="891" ht="15.75" customHeight="1">
      <c r="K891" s="8"/>
      <c r="L891" s="8"/>
      <c r="O891" s="8"/>
      <c r="Q891" s="8"/>
      <c r="R891" s="8"/>
      <c r="S891" s="8"/>
    </row>
    <row r="892" ht="15.75" customHeight="1">
      <c r="K892" s="8"/>
      <c r="L892" s="8"/>
      <c r="O892" s="8"/>
      <c r="Q892" s="8"/>
      <c r="R892" s="8"/>
      <c r="S892" s="8"/>
    </row>
    <row r="893" ht="15.75" customHeight="1">
      <c r="K893" s="8"/>
      <c r="L893" s="8"/>
      <c r="O893" s="8"/>
      <c r="Q893" s="8"/>
      <c r="R893" s="8"/>
      <c r="S893" s="8"/>
    </row>
    <row r="894" ht="15.75" customHeight="1">
      <c r="K894" s="8"/>
      <c r="L894" s="8"/>
      <c r="O894" s="8"/>
      <c r="Q894" s="8"/>
      <c r="R894" s="8"/>
      <c r="S894" s="8"/>
    </row>
    <row r="895" ht="15.75" customHeight="1">
      <c r="K895" s="8"/>
      <c r="L895" s="8"/>
      <c r="O895" s="8"/>
      <c r="Q895" s="8"/>
      <c r="R895" s="8"/>
      <c r="S895" s="8"/>
    </row>
    <row r="896" ht="15.75" customHeight="1">
      <c r="K896" s="8"/>
      <c r="L896" s="8"/>
      <c r="O896" s="8"/>
      <c r="Q896" s="8"/>
      <c r="R896" s="8"/>
      <c r="S896" s="8"/>
    </row>
    <row r="897" ht="15.75" customHeight="1">
      <c r="K897" s="8"/>
      <c r="L897" s="8"/>
      <c r="O897" s="8"/>
      <c r="Q897" s="8"/>
      <c r="R897" s="8"/>
      <c r="S897" s="8"/>
    </row>
    <row r="898" ht="15.75" customHeight="1">
      <c r="K898" s="8"/>
      <c r="L898" s="8"/>
      <c r="O898" s="8"/>
      <c r="Q898" s="8"/>
      <c r="R898" s="8"/>
      <c r="S898" s="8"/>
    </row>
    <row r="899" ht="15.75" customHeight="1">
      <c r="K899" s="8"/>
      <c r="L899" s="8"/>
      <c r="O899" s="8"/>
      <c r="Q899" s="8"/>
      <c r="R899" s="8"/>
      <c r="S899" s="8"/>
    </row>
    <row r="900" ht="15.75" customHeight="1">
      <c r="K900" s="8"/>
      <c r="L900" s="8"/>
      <c r="O900" s="8"/>
      <c r="Q900" s="8"/>
      <c r="R900" s="8"/>
      <c r="S900" s="8"/>
    </row>
    <row r="901" ht="15.75" customHeight="1">
      <c r="K901" s="8"/>
      <c r="L901" s="8"/>
      <c r="O901" s="8"/>
      <c r="Q901" s="8"/>
      <c r="R901" s="8"/>
      <c r="S901" s="8"/>
    </row>
    <row r="902" ht="15.75" customHeight="1">
      <c r="K902" s="8"/>
      <c r="L902" s="8"/>
      <c r="O902" s="8"/>
      <c r="Q902" s="8"/>
      <c r="R902" s="8"/>
      <c r="S902" s="8"/>
    </row>
    <row r="903" ht="15.75" customHeight="1">
      <c r="K903" s="8"/>
      <c r="L903" s="8"/>
      <c r="O903" s="8"/>
      <c r="Q903" s="8"/>
      <c r="R903" s="8"/>
      <c r="S903" s="8"/>
    </row>
    <row r="904" ht="15.75" customHeight="1">
      <c r="K904" s="8"/>
      <c r="L904" s="8"/>
      <c r="O904" s="8"/>
      <c r="Q904" s="8"/>
      <c r="R904" s="8"/>
      <c r="S904" s="8"/>
    </row>
    <row r="905" ht="15.75" customHeight="1">
      <c r="K905" s="8"/>
      <c r="L905" s="8"/>
      <c r="O905" s="8"/>
      <c r="Q905" s="8"/>
      <c r="R905" s="8"/>
      <c r="S905" s="8"/>
    </row>
    <row r="906" ht="15.75" customHeight="1">
      <c r="K906" s="8"/>
      <c r="L906" s="8"/>
      <c r="O906" s="8"/>
      <c r="Q906" s="8"/>
      <c r="R906" s="8"/>
      <c r="S906" s="8"/>
    </row>
    <row r="907" ht="15.75" customHeight="1">
      <c r="K907" s="8"/>
      <c r="L907" s="8"/>
      <c r="O907" s="8"/>
      <c r="Q907" s="8"/>
      <c r="R907" s="8"/>
      <c r="S907" s="8"/>
    </row>
    <row r="908" ht="15.75" customHeight="1">
      <c r="K908" s="8"/>
      <c r="L908" s="8"/>
      <c r="O908" s="8"/>
      <c r="Q908" s="8"/>
      <c r="R908" s="8"/>
      <c r="S908" s="8"/>
    </row>
    <row r="909" ht="15.75" customHeight="1">
      <c r="K909" s="8"/>
      <c r="L909" s="8"/>
      <c r="O909" s="8"/>
      <c r="Q909" s="8"/>
      <c r="R909" s="8"/>
      <c r="S909" s="8"/>
    </row>
    <row r="910" ht="15.75" customHeight="1">
      <c r="K910" s="8"/>
      <c r="L910" s="8"/>
      <c r="O910" s="8"/>
      <c r="Q910" s="8"/>
      <c r="R910" s="8"/>
      <c r="S910" s="8"/>
    </row>
    <row r="911" ht="15.75" customHeight="1">
      <c r="K911" s="8"/>
      <c r="L911" s="8"/>
      <c r="O911" s="8"/>
      <c r="Q911" s="8"/>
      <c r="R911" s="8"/>
      <c r="S911" s="8"/>
    </row>
    <row r="912" ht="15.75" customHeight="1">
      <c r="K912" s="8"/>
      <c r="L912" s="8"/>
      <c r="O912" s="8"/>
      <c r="Q912" s="8"/>
      <c r="R912" s="8"/>
      <c r="S912" s="8"/>
    </row>
    <row r="913" ht="15.75" customHeight="1">
      <c r="K913" s="8"/>
      <c r="L913" s="8"/>
      <c r="O913" s="8"/>
      <c r="Q913" s="8"/>
      <c r="R913" s="8"/>
      <c r="S913" s="8"/>
    </row>
    <row r="914" ht="15.75" customHeight="1">
      <c r="K914" s="8"/>
      <c r="L914" s="8"/>
      <c r="O914" s="8"/>
      <c r="Q914" s="8"/>
      <c r="R914" s="8"/>
      <c r="S914" s="8"/>
    </row>
    <row r="915" ht="15.75" customHeight="1">
      <c r="K915" s="8"/>
      <c r="L915" s="8"/>
      <c r="O915" s="8"/>
      <c r="Q915" s="8"/>
      <c r="R915" s="8"/>
      <c r="S915" s="8"/>
    </row>
    <row r="916" ht="15.75" customHeight="1">
      <c r="K916" s="8"/>
      <c r="L916" s="8"/>
      <c r="O916" s="8"/>
      <c r="Q916" s="8"/>
      <c r="R916" s="8"/>
      <c r="S916" s="8"/>
    </row>
    <row r="917" ht="15.75" customHeight="1">
      <c r="K917" s="8"/>
      <c r="L917" s="8"/>
      <c r="O917" s="8"/>
      <c r="Q917" s="8"/>
      <c r="R917" s="8"/>
      <c r="S917" s="8"/>
    </row>
    <row r="918" ht="15.75" customHeight="1">
      <c r="K918" s="8"/>
      <c r="L918" s="8"/>
      <c r="O918" s="8"/>
      <c r="Q918" s="8"/>
      <c r="R918" s="8"/>
      <c r="S918" s="8"/>
    </row>
    <row r="919" ht="15.75" customHeight="1">
      <c r="K919" s="8"/>
      <c r="L919" s="8"/>
      <c r="O919" s="8"/>
      <c r="Q919" s="8"/>
      <c r="R919" s="8"/>
      <c r="S919" s="8"/>
    </row>
    <row r="920" ht="15.75" customHeight="1">
      <c r="K920" s="8"/>
      <c r="L920" s="8"/>
      <c r="O920" s="8"/>
      <c r="Q920" s="8"/>
      <c r="R920" s="8"/>
      <c r="S920" s="8"/>
    </row>
    <row r="921" ht="15.75" customHeight="1">
      <c r="K921" s="8"/>
      <c r="L921" s="8"/>
      <c r="O921" s="8"/>
      <c r="Q921" s="8"/>
      <c r="R921" s="8"/>
      <c r="S921" s="8"/>
    </row>
    <row r="922" ht="15.75" customHeight="1">
      <c r="K922" s="8"/>
      <c r="L922" s="8"/>
      <c r="O922" s="8"/>
      <c r="Q922" s="8"/>
      <c r="R922" s="8"/>
      <c r="S922" s="8"/>
    </row>
    <row r="923" ht="15.75" customHeight="1">
      <c r="K923" s="8"/>
      <c r="L923" s="8"/>
      <c r="O923" s="8"/>
      <c r="Q923" s="8"/>
      <c r="R923" s="8"/>
      <c r="S923" s="8"/>
    </row>
    <row r="924" ht="15.75" customHeight="1">
      <c r="K924" s="8"/>
      <c r="L924" s="8"/>
      <c r="O924" s="8"/>
      <c r="Q924" s="8"/>
      <c r="R924" s="8"/>
      <c r="S924" s="8"/>
    </row>
    <row r="925" ht="15.75" customHeight="1">
      <c r="K925" s="8"/>
      <c r="L925" s="8"/>
      <c r="O925" s="8"/>
      <c r="Q925" s="8"/>
      <c r="R925" s="8"/>
      <c r="S925" s="8"/>
    </row>
    <row r="926" ht="15.75" customHeight="1">
      <c r="K926" s="8"/>
      <c r="L926" s="8"/>
      <c r="O926" s="8"/>
      <c r="Q926" s="8"/>
      <c r="R926" s="8"/>
      <c r="S926" s="8"/>
    </row>
    <row r="927" ht="15.75" customHeight="1">
      <c r="K927" s="8"/>
      <c r="L927" s="8"/>
      <c r="O927" s="8"/>
      <c r="Q927" s="8"/>
      <c r="R927" s="8"/>
      <c r="S927" s="8"/>
    </row>
    <row r="928" ht="15.75" customHeight="1">
      <c r="K928" s="8"/>
      <c r="L928" s="8"/>
      <c r="O928" s="8"/>
      <c r="Q928" s="8"/>
      <c r="R928" s="8"/>
      <c r="S928" s="8"/>
    </row>
    <row r="929" ht="15.75" customHeight="1">
      <c r="K929" s="8"/>
      <c r="L929" s="8"/>
      <c r="O929" s="8"/>
      <c r="Q929" s="8"/>
      <c r="R929" s="8"/>
      <c r="S929" s="8"/>
    </row>
    <row r="930" ht="15.75" customHeight="1">
      <c r="K930" s="8"/>
      <c r="L930" s="8"/>
      <c r="O930" s="8"/>
      <c r="Q930" s="8"/>
      <c r="R930" s="8"/>
      <c r="S930" s="8"/>
    </row>
    <row r="931" ht="15.75" customHeight="1">
      <c r="K931" s="8"/>
      <c r="L931" s="8"/>
      <c r="O931" s="8"/>
      <c r="Q931" s="8"/>
      <c r="R931" s="8"/>
      <c r="S931" s="8"/>
    </row>
    <row r="932" ht="15.75" customHeight="1">
      <c r="K932" s="8"/>
      <c r="L932" s="8"/>
      <c r="O932" s="8"/>
      <c r="Q932" s="8"/>
      <c r="R932" s="8"/>
      <c r="S932" s="8"/>
    </row>
    <row r="933" ht="15.75" customHeight="1">
      <c r="K933" s="8"/>
      <c r="L933" s="8"/>
      <c r="O933" s="8"/>
      <c r="Q933" s="8"/>
      <c r="R933" s="8"/>
      <c r="S933" s="8"/>
    </row>
    <row r="934" ht="15.75" customHeight="1">
      <c r="K934" s="8"/>
      <c r="L934" s="8"/>
      <c r="O934" s="8"/>
      <c r="Q934" s="8"/>
      <c r="R934" s="8"/>
      <c r="S934" s="8"/>
    </row>
    <row r="935" ht="15.75" customHeight="1">
      <c r="K935" s="8"/>
      <c r="L935" s="8"/>
      <c r="O935" s="8"/>
      <c r="Q935" s="8"/>
      <c r="R935" s="8"/>
      <c r="S935" s="8"/>
    </row>
    <row r="936" ht="15.75" customHeight="1">
      <c r="K936" s="8"/>
      <c r="L936" s="8"/>
      <c r="O936" s="8"/>
      <c r="Q936" s="8"/>
      <c r="R936" s="8"/>
      <c r="S936" s="8"/>
    </row>
    <row r="937" ht="15.75" customHeight="1">
      <c r="K937" s="8"/>
      <c r="L937" s="8"/>
      <c r="O937" s="8"/>
      <c r="Q937" s="8"/>
      <c r="R937" s="8"/>
      <c r="S937" s="8"/>
    </row>
    <row r="938" ht="15.75" customHeight="1">
      <c r="K938" s="8"/>
      <c r="L938" s="8"/>
      <c r="O938" s="8"/>
      <c r="Q938" s="8"/>
      <c r="R938" s="8"/>
      <c r="S938" s="8"/>
    </row>
    <row r="939" ht="15.75" customHeight="1">
      <c r="K939" s="8"/>
      <c r="L939" s="8"/>
      <c r="O939" s="8"/>
      <c r="Q939" s="8"/>
      <c r="R939" s="8"/>
      <c r="S939" s="8"/>
    </row>
    <row r="940" ht="15.75" customHeight="1">
      <c r="K940" s="8"/>
      <c r="L940" s="8"/>
      <c r="O940" s="8"/>
      <c r="Q940" s="8"/>
      <c r="R940" s="8"/>
      <c r="S940" s="8"/>
    </row>
    <row r="941" ht="15.75" customHeight="1">
      <c r="K941" s="8"/>
      <c r="L941" s="8"/>
      <c r="O941" s="8"/>
      <c r="Q941" s="8"/>
      <c r="R941" s="8"/>
      <c r="S941" s="8"/>
    </row>
    <row r="942" ht="15.75" customHeight="1">
      <c r="K942" s="8"/>
      <c r="L942" s="8"/>
      <c r="O942" s="8"/>
      <c r="Q942" s="8"/>
      <c r="R942" s="8"/>
      <c r="S942" s="8"/>
    </row>
    <row r="943" ht="15.75" customHeight="1">
      <c r="K943" s="8"/>
      <c r="L943" s="8"/>
      <c r="O943" s="8"/>
      <c r="Q943" s="8"/>
      <c r="R943" s="8"/>
      <c r="S943" s="8"/>
    </row>
    <row r="944" ht="15.75" customHeight="1">
      <c r="K944" s="8"/>
      <c r="L944" s="8"/>
      <c r="O944" s="8"/>
      <c r="Q944" s="8"/>
      <c r="R944" s="8"/>
      <c r="S944" s="8"/>
    </row>
    <row r="945" ht="15.75" customHeight="1">
      <c r="K945" s="8"/>
      <c r="L945" s="8"/>
      <c r="O945" s="8"/>
      <c r="Q945" s="8"/>
      <c r="R945" s="8"/>
      <c r="S945" s="8"/>
    </row>
    <row r="946" ht="15.75" customHeight="1">
      <c r="K946" s="8"/>
      <c r="L946" s="8"/>
      <c r="O946" s="8"/>
      <c r="Q946" s="8"/>
      <c r="R946" s="8"/>
      <c r="S946" s="8"/>
    </row>
    <row r="947" ht="15.75" customHeight="1">
      <c r="K947" s="8"/>
      <c r="L947" s="8"/>
      <c r="O947" s="8"/>
      <c r="Q947" s="8"/>
      <c r="R947" s="8"/>
      <c r="S947" s="8"/>
    </row>
    <row r="948" ht="15.75" customHeight="1">
      <c r="K948" s="8"/>
      <c r="L948" s="8"/>
      <c r="O948" s="8"/>
      <c r="Q948" s="8"/>
      <c r="R948" s="8"/>
      <c r="S948" s="8"/>
    </row>
    <row r="949" ht="15.75" customHeight="1">
      <c r="K949" s="8"/>
      <c r="L949" s="8"/>
      <c r="O949" s="8"/>
      <c r="Q949" s="8"/>
      <c r="R949" s="8"/>
      <c r="S949" s="8"/>
    </row>
    <row r="950" ht="15.75" customHeight="1">
      <c r="K950" s="8"/>
      <c r="L950" s="8"/>
      <c r="O950" s="8"/>
      <c r="Q950" s="8"/>
      <c r="R950" s="8"/>
      <c r="S950" s="8"/>
    </row>
    <row r="951" ht="15.75" customHeight="1">
      <c r="K951" s="8"/>
      <c r="L951" s="8"/>
      <c r="O951" s="8"/>
      <c r="Q951" s="8"/>
      <c r="R951" s="8"/>
      <c r="S951" s="8"/>
    </row>
    <row r="952" ht="15.75" customHeight="1">
      <c r="K952" s="8"/>
      <c r="L952" s="8"/>
      <c r="O952" s="8"/>
      <c r="Q952" s="8"/>
      <c r="R952" s="8"/>
      <c r="S952" s="8"/>
    </row>
    <row r="953" ht="15.75" customHeight="1">
      <c r="K953" s="8"/>
      <c r="L953" s="8"/>
      <c r="O953" s="8"/>
      <c r="Q953" s="8"/>
      <c r="R953" s="8"/>
      <c r="S953" s="8"/>
    </row>
    <row r="954" ht="15.75" customHeight="1">
      <c r="K954" s="8"/>
      <c r="L954" s="8"/>
      <c r="O954" s="8"/>
      <c r="Q954" s="8"/>
      <c r="R954" s="8"/>
      <c r="S954" s="8"/>
    </row>
    <row r="955" ht="15.75" customHeight="1">
      <c r="K955" s="8"/>
      <c r="L955" s="8"/>
      <c r="O955" s="8"/>
      <c r="Q955" s="8"/>
      <c r="R955" s="8"/>
      <c r="S955" s="8"/>
    </row>
    <row r="956" ht="15.75" customHeight="1">
      <c r="K956" s="8"/>
      <c r="L956" s="8"/>
      <c r="O956" s="8"/>
      <c r="Q956" s="8"/>
      <c r="R956" s="8"/>
      <c r="S956" s="8"/>
    </row>
    <row r="957" ht="15.75" customHeight="1">
      <c r="K957" s="8"/>
      <c r="L957" s="8"/>
      <c r="O957" s="8"/>
      <c r="Q957" s="8"/>
      <c r="R957" s="8"/>
      <c r="S957" s="8"/>
    </row>
    <row r="958" ht="15.75" customHeight="1">
      <c r="K958" s="8"/>
      <c r="L958" s="8"/>
      <c r="O958" s="8"/>
      <c r="Q958" s="8"/>
      <c r="R958" s="8"/>
      <c r="S958" s="8"/>
    </row>
    <row r="959" ht="15.75" customHeight="1">
      <c r="K959" s="8"/>
      <c r="L959" s="8"/>
      <c r="O959" s="8"/>
      <c r="Q959" s="8"/>
      <c r="R959" s="8"/>
      <c r="S959" s="8"/>
    </row>
    <row r="960" ht="15.75" customHeight="1">
      <c r="K960" s="8"/>
      <c r="L960" s="8"/>
      <c r="O960" s="8"/>
      <c r="Q960" s="8"/>
      <c r="R960" s="8"/>
      <c r="S960" s="8"/>
    </row>
    <row r="961" ht="15.75" customHeight="1">
      <c r="K961" s="8"/>
      <c r="L961" s="8"/>
      <c r="O961" s="8"/>
      <c r="Q961" s="8"/>
      <c r="R961" s="8"/>
      <c r="S961" s="8"/>
    </row>
    <row r="962" ht="15.75" customHeight="1">
      <c r="K962" s="8"/>
      <c r="L962" s="8"/>
      <c r="O962" s="8"/>
      <c r="Q962" s="8"/>
      <c r="R962" s="8"/>
      <c r="S962" s="8"/>
    </row>
    <row r="963" ht="15.75" customHeight="1">
      <c r="K963" s="8"/>
      <c r="L963" s="8"/>
      <c r="O963" s="8"/>
      <c r="Q963" s="8"/>
      <c r="R963" s="8"/>
      <c r="S963" s="8"/>
    </row>
    <row r="964" ht="15.75" customHeight="1">
      <c r="K964" s="8"/>
      <c r="L964" s="8"/>
      <c r="O964" s="8"/>
      <c r="Q964" s="8"/>
      <c r="R964" s="8"/>
      <c r="S964" s="8"/>
    </row>
    <row r="965" ht="15.75" customHeight="1">
      <c r="K965" s="8"/>
      <c r="L965" s="8"/>
      <c r="O965" s="8"/>
      <c r="Q965" s="8"/>
      <c r="R965" s="8"/>
      <c r="S965" s="8"/>
    </row>
    <row r="966" ht="15.75" customHeight="1">
      <c r="K966" s="8"/>
      <c r="L966" s="8"/>
      <c r="O966" s="8"/>
      <c r="Q966" s="8"/>
      <c r="R966" s="8"/>
      <c r="S966" s="8"/>
    </row>
    <row r="967" ht="15.75" customHeight="1">
      <c r="K967" s="8"/>
      <c r="L967" s="8"/>
      <c r="O967" s="8"/>
      <c r="Q967" s="8"/>
      <c r="R967" s="8"/>
      <c r="S967" s="8"/>
    </row>
    <row r="968" ht="15.75" customHeight="1">
      <c r="K968" s="8"/>
      <c r="L968" s="8"/>
      <c r="O968" s="8"/>
      <c r="Q968" s="8"/>
      <c r="R968" s="8"/>
      <c r="S968" s="8"/>
    </row>
    <row r="969" ht="15.75" customHeight="1">
      <c r="K969" s="8"/>
      <c r="L969" s="8"/>
      <c r="O969" s="8"/>
      <c r="Q969" s="8"/>
      <c r="R969" s="8"/>
      <c r="S969" s="8"/>
    </row>
    <row r="970" ht="15.75" customHeight="1">
      <c r="K970" s="8"/>
      <c r="L970" s="8"/>
      <c r="O970" s="8"/>
      <c r="Q970" s="8"/>
      <c r="R970" s="8"/>
      <c r="S970" s="8"/>
    </row>
    <row r="971" ht="15.75" customHeight="1">
      <c r="K971" s="8"/>
      <c r="L971" s="8"/>
      <c r="O971" s="8"/>
      <c r="Q971" s="8"/>
      <c r="R971" s="8"/>
      <c r="S971" s="8"/>
    </row>
    <row r="972" ht="15.75" customHeight="1">
      <c r="K972" s="8"/>
      <c r="L972" s="8"/>
      <c r="O972" s="8"/>
      <c r="Q972" s="8"/>
      <c r="R972" s="8"/>
      <c r="S972" s="8"/>
    </row>
    <row r="973" ht="15.75" customHeight="1">
      <c r="K973" s="8"/>
      <c r="L973" s="8"/>
      <c r="O973" s="8"/>
      <c r="Q973" s="8"/>
      <c r="R973" s="8"/>
      <c r="S973" s="8"/>
    </row>
    <row r="974" ht="15.75" customHeight="1">
      <c r="K974" s="8"/>
      <c r="L974" s="8"/>
      <c r="O974" s="8"/>
      <c r="Q974" s="8"/>
      <c r="R974" s="8"/>
      <c r="S974" s="8"/>
    </row>
    <row r="975" ht="15.75" customHeight="1">
      <c r="K975" s="8"/>
      <c r="L975" s="8"/>
      <c r="O975" s="8"/>
      <c r="Q975" s="8"/>
      <c r="R975" s="8"/>
      <c r="S975" s="8"/>
    </row>
    <row r="976" ht="15.75" customHeight="1">
      <c r="K976" s="8"/>
      <c r="L976" s="8"/>
      <c r="O976" s="8"/>
      <c r="Q976" s="8"/>
      <c r="R976" s="8"/>
      <c r="S976" s="8"/>
    </row>
    <row r="977" ht="15.75" customHeight="1">
      <c r="K977" s="8"/>
      <c r="L977" s="8"/>
      <c r="O977" s="8"/>
      <c r="Q977" s="8"/>
      <c r="R977" s="8"/>
      <c r="S977" s="8"/>
    </row>
    <row r="978" ht="15.75" customHeight="1">
      <c r="K978" s="8"/>
      <c r="L978" s="8"/>
      <c r="O978" s="8"/>
      <c r="Q978" s="8"/>
      <c r="R978" s="8"/>
      <c r="S978" s="8"/>
    </row>
    <row r="979" ht="15.75" customHeight="1">
      <c r="K979" s="8"/>
      <c r="L979" s="8"/>
      <c r="O979" s="8"/>
      <c r="Q979" s="8"/>
      <c r="R979" s="8"/>
      <c r="S979" s="8"/>
    </row>
    <row r="980" ht="15.75" customHeight="1">
      <c r="K980" s="8"/>
      <c r="L980" s="8"/>
      <c r="O980" s="8"/>
      <c r="Q980" s="8"/>
      <c r="R980" s="8"/>
      <c r="S980" s="8"/>
    </row>
    <row r="981" ht="15.75" customHeight="1">
      <c r="K981" s="8"/>
      <c r="L981" s="8"/>
      <c r="O981" s="8"/>
      <c r="Q981" s="8"/>
      <c r="R981" s="8"/>
      <c r="S981" s="8"/>
    </row>
    <row r="982" ht="15.75" customHeight="1">
      <c r="K982" s="8"/>
      <c r="L982" s="8"/>
      <c r="O982" s="8"/>
      <c r="Q982" s="8"/>
      <c r="R982" s="8"/>
      <c r="S982" s="8"/>
    </row>
    <row r="983" ht="15.75" customHeight="1">
      <c r="K983" s="8"/>
      <c r="L983" s="8"/>
      <c r="O983" s="8"/>
      <c r="Q983" s="8"/>
      <c r="R983" s="8"/>
      <c r="S983" s="8"/>
    </row>
    <row r="984" ht="15.75" customHeight="1">
      <c r="K984" s="8"/>
      <c r="L984" s="8"/>
      <c r="O984" s="8"/>
      <c r="Q984" s="8"/>
      <c r="R984" s="8"/>
      <c r="S984" s="8"/>
    </row>
    <row r="985" ht="15.75" customHeight="1">
      <c r="K985" s="8"/>
      <c r="L985" s="8"/>
      <c r="O985" s="8"/>
      <c r="Q985" s="8"/>
      <c r="R985" s="8"/>
      <c r="S985" s="8"/>
    </row>
    <row r="986" ht="15.75" customHeight="1">
      <c r="K986" s="8"/>
      <c r="L986" s="8"/>
      <c r="O986" s="8"/>
      <c r="Q986" s="8"/>
      <c r="R986" s="8"/>
      <c r="S986" s="8"/>
    </row>
    <row r="987" ht="15.75" customHeight="1">
      <c r="K987" s="8"/>
      <c r="L987" s="8"/>
      <c r="O987" s="8"/>
      <c r="Q987" s="8"/>
      <c r="R987" s="8"/>
      <c r="S987" s="8"/>
    </row>
    <row r="988" ht="15.75" customHeight="1">
      <c r="K988" s="8"/>
      <c r="L988" s="8"/>
      <c r="O988" s="8"/>
      <c r="Q988" s="8"/>
      <c r="R988" s="8"/>
      <c r="S988" s="8"/>
    </row>
    <row r="989" ht="15.75" customHeight="1">
      <c r="K989" s="8"/>
      <c r="L989" s="8"/>
      <c r="O989" s="8"/>
      <c r="Q989" s="8"/>
      <c r="R989" s="8"/>
      <c r="S989" s="8"/>
    </row>
    <row r="990" ht="15.75" customHeight="1">
      <c r="K990" s="8"/>
      <c r="L990" s="8"/>
      <c r="O990" s="8"/>
      <c r="Q990" s="8"/>
      <c r="R990" s="8"/>
      <c r="S990" s="8"/>
    </row>
    <row r="991" ht="15.75" customHeight="1">
      <c r="K991" s="8"/>
      <c r="L991" s="8"/>
      <c r="O991" s="8"/>
      <c r="Q991" s="8"/>
      <c r="R991" s="8"/>
      <c r="S991" s="8"/>
    </row>
    <row r="992" ht="15.75" customHeight="1">
      <c r="K992" s="8"/>
      <c r="L992" s="8"/>
      <c r="O992" s="8"/>
      <c r="Q992" s="8"/>
      <c r="R992" s="8"/>
      <c r="S992" s="8"/>
    </row>
    <row r="993" ht="15.75" customHeight="1">
      <c r="K993" s="8"/>
      <c r="L993" s="8"/>
      <c r="O993" s="8"/>
      <c r="Q993" s="8"/>
      <c r="R993" s="8"/>
      <c r="S993" s="8"/>
    </row>
    <row r="994" ht="15.75" customHeight="1">
      <c r="K994" s="8"/>
      <c r="L994" s="8"/>
      <c r="O994" s="8"/>
      <c r="Q994" s="8"/>
      <c r="R994" s="8"/>
      <c r="S994" s="8"/>
    </row>
    <row r="995" ht="15.75" customHeight="1">
      <c r="K995" s="8"/>
      <c r="L995" s="8"/>
      <c r="O995" s="8"/>
      <c r="Q995" s="8"/>
      <c r="R995" s="8"/>
      <c r="S995" s="8"/>
    </row>
    <row r="996" ht="15.75" customHeight="1">
      <c r="K996" s="8"/>
      <c r="L996" s="8"/>
      <c r="O996" s="8"/>
      <c r="Q996" s="8"/>
      <c r="R996" s="8"/>
      <c r="S996" s="8"/>
    </row>
    <row r="997" ht="15.75" customHeight="1">
      <c r="K997" s="8"/>
      <c r="L997" s="8"/>
      <c r="O997" s="8"/>
      <c r="Q997" s="8"/>
      <c r="R997" s="8"/>
      <c r="S997" s="8"/>
    </row>
    <row r="998" ht="15.75" customHeight="1">
      <c r="K998" s="8"/>
      <c r="L998" s="8"/>
      <c r="O998" s="8"/>
      <c r="Q998" s="8"/>
      <c r="R998" s="8"/>
      <c r="S998" s="8"/>
    </row>
    <row r="999" ht="15.75" customHeight="1">
      <c r="K999" s="8"/>
      <c r="L999" s="8"/>
      <c r="O999" s="8"/>
      <c r="Q999" s="8"/>
      <c r="R999" s="8"/>
      <c r="S999" s="8"/>
    </row>
    <row r="1000" ht="15.75" customHeight="1">
      <c r="K1000" s="8"/>
      <c r="L1000" s="8"/>
      <c r="O1000" s="8"/>
      <c r="Q1000" s="8"/>
      <c r="R1000" s="8"/>
      <c r="S1000" s="8"/>
    </row>
  </sheetData>
  <mergeCells count="96">
    <mergeCell ref="CN4:CR4"/>
    <mergeCell ref="CS4:CV4"/>
    <mergeCell ref="CW4:DA4"/>
    <mergeCell ref="DB4:DE4"/>
    <mergeCell ref="BR3:BZ3"/>
    <mergeCell ref="CA3:CI3"/>
    <mergeCell ref="CJ3:CR3"/>
    <mergeCell ref="CS3:DA3"/>
    <mergeCell ref="DB3:DJ3"/>
    <mergeCell ref="DK3:DL4"/>
    <mergeCell ref="BR4:BU4"/>
    <mergeCell ref="DF4:DJ4"/>
    <mergeCell ref="K4:L5"/>
    <mergeCell ref="M4:O5"/>
    <mergeCell ref="P5:Q5"/>
    <mergeCell ref="R5:S5"/>
    <mergeCell ref="C3:F6"/>
    <mergeCell ref="C7:F7"/>
    <mergeCell ref="B50:I50"/>
    <mergeCell ref="B1:J1"/>
    <mergeCell ref="B2:J2"/>
    <mergeCell ref="P2:S2"/>
    <mergeCell ref="T2:W2"/>
    <mergeCell ref="B3:B6"/>
    <mergeCell ref="G3:J4"/>
    <mergeCell ref="T5:V5"/>
    <mergeCell ref="AX5:AY5"/>
    <mergeCell ref="AZ5:BA5"/>
    <mergeCell ref="AH5:AI5"/>
    <mergeCell ref="AJ5:AK5"/>
    <mergeCell ref="AL5:AN5"/>
    <mergeCell ref="AO5:AP5"/>
    <mergeCell ref="AQ5:AR5"/>
    <mergeCell ref="AS5:AT5"/>
    <mergeCell ref="AU5:AW5"/>
    <mergeCell ref="BK5:BL5"/>
    <mergeCell ref="BM5:BO5"/>
    <mergeCell ref="AU4:AY4"/>
    <mergeCell ref="AZ4:BC4"/>
    <mergeCell ref="BD4:BH4"/>
    <mergeCell ref="BI4:BL4"/>
    <mergeCell ref="BM4:BQ4"/>
    <mergeCell ref="BB5:BC5"/>
    <mergeCell ref="BD5:BF5"/>
    <mergeCell ref="BP5:BQ5"/>
    <mergeCell ref="CC5:CD5"/>
    <mergeCell ref="CE5:CG5"/>
    <mergeCell ref="CH5:CI5"/>
    <mergeCell ref="CJ5:CK5"/>
    <mergeCell ref="CL5:CM5"/>
    <mergeCell ref="CN5:CP5"/>
    <mergeCell ref="CQ5:CR5"/>
    <mergeCell ref="DI5:DJ5"/>
    <mergeCell ref="DK5:DK6"/>
    <mergeCell ref="DL5:DL6"/>
    <mergeCell ref="CS5:CT5"/>
    <mergeCell ref="CU5:CV5"/>
    <mergeCell ref="CW5:CY5"/>
    <mergeCell ref="CZ5:DA5"/>
    <mergeCell ref="DB5:DC5"/>
    <mergeCell ref="DD5:DE5"/>
    <mergeCell ref="DF5:DH5"/>
    <mergeCell ref="K3:O3"/>
    <mergeCell ref="P3:X3"/>
    <mergeCell ref="Y3:AG3"/>
    <mergeCell ref="AH3:AP3"/>
    <mergeCell ref="AQ3:AY3"/>
    <mergeCell ref="AZ3:BH3"/>
    <mergeCell ref="BI3:BQ3"/>
    <mergeCell ref="P4:S4"/>
    <mergeCell ref="T4:X4"/>
    <mergeCell ref="Y4:AB4"/>
    <mergeCell ref="AC4:AG4"/>
    <mergeCell ref="AH4:AK4"/>
    <mergeCell ref="AL4:AP4"/>
    <mergeCell ref="AQ4:AT4"/>
    <mergeCell ref="BV4:BZ4"/>
    <mergeCell ref="CA4:CD4"/>
    <mergeCell ref="CE4:CI4"/>
    <mergeCell ref="CJ4:CM4"/>
    <mergeCell ref="G5:G6"/>
    <mergeCell ref="H5:H6"/>
    <mergeCell ref="I5:I6"/>
    <mergeCell ref="J5:J6"/>
    <mergeCell ref="W5:X5"/>
    <mergeCell ref="Y5:Z5"/>
    <mergeCell ref="AA5:AB5"/>
    <mergeCell ref="AC5:AE5"/>
    <mergeCell ref="AF5:AG5"/>
    <mergeCell ref="BG5:BH5"/>
    <mergeCell ref="BI5:BJ5"/>
    <mergeCell ref="BR5:BS5"/>
    <mergeCell ref="BT5:BU5"/>
    <mergeCell ref="BV5:BX5"/>
    <mergeCell ref="BY5:BZ5"/>
    <mergeCell ref="CA5:CB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86"/>
    <col customWidth="1" min="3" max="3" width="2.86"/>
    <col customWidth="1" min="4" max="4" width="10.71"/>
    <col customWidth="1" min="5" max="5" width="6.29"/>
    <col customWidth="1" min="6" max="6" width="10.43"/>
    <col customWidth="1" min="7" max="7" width="4.86"/>
    <col customWidth="1" min="8" max="8" width="14.14"/>
    <col customWidth="1" min="9" max="20" width="12.71"/>
    <col customWidth="1" min="21" max="21" width="1.57"/>
    <col customWidth="1" min="22" max="22" width="5.14"/>
    <col customWidth="1" min="23" max="24" width="14.29"/>
    <col customWidth="1" min="25" max="25" width="15.29"/>
    <col customWidth="1" min="26" max="26" width="16.0"/>
    <col customWidth="1" min="27" max="27" width="15.29"/>
  </cols>
  <sheetData>
    <row r="2">
      <c r="B2" s="203" t="s">
        <v>145</v>
      </c>
    </row>
    <row r="3">
      <c r="B3" s="203" t="s">
        <v>146</v>
      </c>
    </row>
    <row r="5" ht="15.0" customHeight="1">
      <c r="B5" s="204" t="s">
        <v>147</v>
      </c>
      <c r="C5" s="205" t="s">
        <v>47</v>
      </c>
      <c r="D5" s="127"/>
      <c r="E5" s="127"/>
      <c r="F5" s="127"/>
      <c r="G5" s="127"/>
      <c r="H5" s="206" t="s">
        <v>148</v>
      </c>
      <c r="I5" s="207" t="s">
        <v>149</v>
      </c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33"/>
      <c r="U5" s="208"/>
    </row>
    <row r="6" ht="15.0" customHeight="1">
      <c r="B6" s="142"/>
      <c r="C6" s="49"/>
      <c r="D6" s="11"/>
      <c r="E6" s="11"/>
      <c r="F6" s="11"/>
      <c r="G6" s="11"/>
      <c r="H6" s="18"/>
      <c r="I6" s="209" t="s">
        <v>150</v>
      </c>
      <c r="J6" s="209" t="s">
        <v>151</v>
      </c>
      <c r="K6" s="209" t="s">
        <v>152</v>
      </c>
      <c r="L6" s="209" t="s">
        <v>153</v>
      </c>
      <c r="M6" s="209" t="s">
        <v>154</v>
      </c>
      <c r="N6" s="209" t="s">
        <v>155</v>
      </c>
      <c r="O6" s="209" t="s">
        <v>156</v>
      </c>
      <c r="P6" s="209" t="s">
        <v>157</v>
      </c>
      <c r="Q6" s="209" t="s">
        <v>158</v>
      </c>
      <c r="R6" s="209" t="s">
        <v>159</v>
      </c>
      <c r="S6" s="209" t="s">
        <v>160</v>
      </c>
      <c r="T6" s="210" t="s">
        <v>161</v>
      </c>
      <c r="U6" s="208"/>
      <c r="W6" s="92"/>
    </row>
    <row r="7">
      <c r="B7" s="211">
        <v>1.0</v>
      </c>
      <c r="C7" s="212">
        <v>2.0</v>
      </c>
      <c r="D7" s="37"/>
      <c r="E7" s="37"/>
      <c r="F7" s="37"/>
      <c r="G7" s="37"/>
      <c r="H7" s="213">
        <v>3.0</v>
      </c>
      <c r="I7" s="213">
        <f t="shared" ref="I7:T7" si="1">H7+1</f>
        <v>4</v>
      </c>
      <c r="J7" s="213">
        <f t="shared" si="1"/>
        <v>5</v>
      </c>
      <c r="K7" s="213">
        <f t="shared" si="1"/>
        <v>6</v>
      </c>
      <c r="L7" s="213">
        <f t="shared" si="1"/>
        <v>7</v>
      </c>
      <c r="M7" s="213">
        <f t="shared" si="1"/>
        <v>8</v>
      </c>
      <c r="N7" s="213">
        <f t="shared" si="1"/>
        <v>9</v>
      </c>
      <c r="O7" s="213">
        <f t="shared" si="1"/>
        <v>10</v>
      </c>
      <c r="P7" s="213">
        <f t="shared" si="1"/>
        <v>11</v>
      </c>
      <c r="Q7" s="213">
        <f t="shared" si="1"/>
        <v>12</v>
      </c>
      <c r="R7" s="213">
        <f t="shared" si="1"/>
        <v>13</v>
      </c>
      <c r="S7" s="213">
        <f t="shared" si="1"/>
        <v>14</v>
      </c>
      <c r="T7" s="214">
        <f t="shared" si="1"/>
        <v>15</v>
      </c>
      <c r="U7" s="215"/>
      <c r="V7" s="52">
        <v>100.0</v>
      </c>
      <c r="Z7" s="66"/>
    </row>
    <row r="8">
      <c r="B8" s="216"/>
      <c r="C8" s="217"/>
      <c r="D8" s="218"/>
      <c r="E8" s="218"/>
      <c r="F8" s="218"/>
      <c r="G8" s="218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20"/>
      <c r="U8" s="218"/>
      <c r="X8" s="92"/>
      <c r="Y8" s="92"/>
    </row>
    <row r="9" hidden="1">
      <c r="B9" s="221"/>
      <c r="C9" s="222"/>
      <c r="D9" s="223"/>
      <c r="E9" s="223"/>
      <c r="F9" s="223"/>
      <c r="G9" s="224"/>
      <c r="H9" s="225"/>
      <c r="I9" s="89"/>
      <c r="J9" s="89"/>
      <c r="K9" s="89"/>
      <c r="L9" s="89"/>
      <c r="M9" s="89"/>
      <c r="N9" s="97"/>
      <c r="O9" s="89"/>
      <c r="P9" s="89"/>
      <c r="Q9" s="97"/>
      <c r="R9" s="89"/>
      <c r="S9" s="97"/>
      <c r="T9" s="226"/>
      <c r="U9" s="218"/>
      <c r="V9" s="32"/>
      <c r="X9" s="92"/>
      <c r="Y9" s="92"/>
      <c r="Z9" s="92"/>
      <c r="AA9" s="92"/>
    </row>
    <row r="10">
      <c r="B10" s="227">
        <v>1.0</v>
      </c>
      <c r="C10" s="228" t="str">
        <f>PLGK!C17</f>
        <v>Belanja Alat/Bahan untuk Kegiatan Kantor-Alat Tulis Kantor</v>
      </c>
      <c r="D10" s="229"/>
      <c r="E10" s="229"/>
      <c r="F10" s="229"/>
      <c r="G10" s="229"/>
      <c r="H10" s="225">
        <f>PLGK!J17</f>
        <v>656000</v>
      </c>
      <c r="I10" s="89" t="str">
        <f>PLGK!L17</f>
        <v/>
      </c>
      <c r="J10" s="89" t="str">
        <f>PLGK!Q17</f>
        <v/>
      </c>
      <c r="K10" s="89" t="str">
        <f>PLGK!Z17</f>
        <v/>
      </c>
      <c r="L10" s="89" t="str">
        <f>PLGK!AI17</f>
        <v/>
      </c>
      <c r="M10" s="89" t="str">
        <f>PLGK!AR17</f>
        <v/>
      </c>
      <c r="N10" s="89" t="str">
        <f>PLGK!BA17</f>
        <v/>
      </c>
      <c r="O10" s="89" t="str">
        <f>PLGK!BJ17</f>
        <v/>
      </c>
      <c r="P10" s="89" t="str">
        <f>PLGK!BS17</f>
        <v/>
      </c>
      <c r="Q10" s="89" t="str">
        <f>PLGK!CB17</f>
        <v/>
      </c>
      <c r="R10" s="89" t="str">
        <f>PLGK!CK17</f>
        <v/>
      </c>
      <c r="S10" s="89" t="str">
        <f>PLGK!CT17</f>
        <v/>
      </c>
      <c r="T10" s="226" t="str">
        <f>PLGK!DC17</f>
        <v/>
      </c>
      <c r="U10" s="216"/>
      <c r="V10" s="32"/>
      <c r="W10" s="97"/>
      <c r="X10" s="92"/>
      <c r="Y10" s="92"/>
      <c r="Z10" s="92"/>
      <c r="AA10" s="92"/>
    </row>
    <row r="11" hidden="1">
      <c r="B11" s="221"/>
      <c r="C11" s="228"/>
      <c r="D11" s="230"/>
      <c r="E11" s="230"/>
      <c r="F11" s="230"/>
      <c r="G11" s="230"/>
      <c r="H11" s="225"/>
      <c r="I11" s="89"/>
      <c r="J11" s="89"/>
      <c r="K11" s="89"/>
      <c r="L11" s="89"/>
      <c r="M11" s="89"/>
      <c r="N11" s="89"/>
      <c r="O11" s="89"/>
      <c r="P11" s="89"/>
      <c r="Q11" s="97"/>
      <c r="R11" s="89"/>
      <c r="S11" s="97"/>
      <c r="T11" s="226"/>
      <c r="U11" s="216"/>
      <c r="V11" s="52"/>
      <c r="X11" s="92"/>
      <c r="Y11" s="92"/>
      <c r="Z11" s="92"/>
      <c r="AA11" s="92"/>
    </row>
    <row r="12" hidden="1">
      <c r="B12" s="221"/>
      <c r="C12" s="228"/>
      <c r="D12" s="230"/>
      <c r="E12" s="230"/>
      <c r="F12" s="230"/>
      <c r="G12" s="230"/>
      <c r="H12" s="225"/>
      <c r="I12" s="89"/>
      <c r="J12" s="89"/>
      <c r="K12" s="89"/>
      <c r="L12" s="89"/>
      <c r="M12" s="89"/>
      <c r="N12" s="89"/>
      <c r="O12" s="89"/>
      <c r="P12" s="89"/>
      <c r="Q12" s="97"/>
      <c r="R12" s="89"/>
      <c r="S12" s="97"/>
      <c r="T12" s="226"/>
      <c r="U12" s="216"/>
      <c r="V12" s="32"/>
      <c r="X12" s="92"/>
      <c r="Y12" s="92"/>
      <c r="Z12" s="92"/>
      <c r="AA12" s="92"/>
    </row>
    <row r="13" hidden="1">
      <c r="B13" s="221"/>
      <c r="C13" s="228"/>
      <c r="D13" s="230"/>
      <c r="E13" s="230"/>
      <c r="F13" s="230"/>
      <c r="G13" s="230"/>
      <c r="H13" s="225"/>
      <c r="I13" s="89"/>
      <c r="J13" s="89"/>
      <c r="K13" s="89"/>
      <c r="L13" s="89"/>
      <c r="M13" s="89"/>
      <c r="N13" s="89"/>
      <c r="O13" s="89"/>
      <c r="P13" s="89"/>
      <c r="Q13" s="97"/>
      <c r="R13" s="89"/>
      <c r="S13" s="97"/>
      <c r="T13" s="226"/>
      <c r="U13" s="231"/>
      <c r="V13" s="52">
        <v>75.0</v>
      </c>
      <c r="X13" s="92"/>
      <c r="Y13" s="92"/>
      <c r="Z13" s="92"/>
      <c r="AA13" s="92"/>
    </row>
    <row r="14" hidden="1">
      <c r="B14" s="227"/>
      <c r="C14" s="228"/>
      <c r="D14" s="229"/>
      <c r="E14" s="229"/>
      <c r="F14" s="229"/>
      <c r="G14" s="229"/>
      <c r="H14" s="225"/>
      <c r="I14" s="89"/>
      <c r="J14" s="89"/>
      <c r="K14" s="89"/>
      <c r="L14" s="89"/>
      <c r="M14" s="89"/>
      <c r="N14" s="89"/>
      <c r="O14" s="89"/>
      <c r="P14" s="89"/>
      <c r="Q14" s="89"/>
      <c r="R14" s="89"/>
      <c r="T14" s="226"/>
      <c r="U14" s="218"/>
      <c r="X14" s="92"/>
      <c r="Y14" s="92"/>
      <c r="Z14" s="92"/>
      <c r="AA14" s="92"/>
    </row>
    <row r="15" hidden="1">
      <c r="B15" s="227"/>
      <c r="C15" s="228"/>
      <c r="D15" s="229"/>
      <c r="E15" s="229"/>
      <c r="F15" s="229"/>
      <c r="G15" s="229"/>
      <c r="H15" s="225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226"/>
      <c r="U15" s="216"/>
      <c r="V15" s="52"/>
      <c r="W15" s="97"/>
      <c r="X15" s="92"/>
      <c r="Y15" s="92"/>
      <c r="Z15" s="92"/>
      <c r="AA15" s="92"/>
    </row>
    <row r="16" hidden="1">
      <c r="B16" s="227"/>
      <c r="C16" s="228"/>
      <c r="D16" s="229"/>
      <c r="E16" s="229"/>
      <c r="F16" s="229"/>
      <c r="G16" s="229"/>
      <c r="H16" s="225"/>
      <c r="I16" s="89"/>
      <c r="J16" s="89"/>
      <c r="K16" s="89"/>
      <c r="L16" s="89"/>
      <c r="M16" s="89"/>
      <c r="N16" s="89"/>
      <c r="O16" s="89"/>
      <c r="P16" s="89"/>
      <c r="Q16" s="89"/>
      <c r="R16" s="89"/>
      <c r="T16" s="226"/>
      <c r="U16" s="216"/>
      <c r="X16" s="92"/>
      <c r="Y16" s="92"/>
      <c r="Z16" s="92"/>
      <c r="AA16" s="92"/>
    </row>
    <row r="17" hidden="1">
      <c r="B17" s="227"/>
      <c r="C17" s="228"/>
      <c r="D17" s="229"/>
      <c r="E17" s="229"/>
      <c r="F17" s="229"/>
      <c r="G17" s="229"/>
      <c r="H17" s="225"/>
      <c r="I17" s="89"/>
      <c r="J17" s="89"/>
      <c r="K17" s="89"/>
      <c r="L17" s="89"/>
      <c r="M17" s="89"/>
      <c r="N17" s="89"/>
      <c r="O17" s="89"/>
      <c r="P17" s="89"/>
      <c r="Q17" s="89"/>
      <c r="R17" s="89"/>
      <c r="T17" s="226"/>
      <c r="U17" s="216"/>
      <c r="V17" s="52"/>
      <c r="X17" s="92"/>
      <c r="Y17" s="92"/>
      <c r="Z17" s="92"/>
      <c r="AA17" s="92"/>
    </row>
    <row r="18" hidden="1">
      <c r="B18" s="227"/>
      <c r="C18" s="228"/>
      <c r="D18" s="229"/>
      <c r="E18" s="229"/>
      <c r="F18" s="229"/>
      <c r="G18" s="229"/>
      <c r="H18" s="225"/>
      <c r="I18" s="89"/>
      <c r="J18" s="89"/>
      <c r="K18" s="89"/>
      <c r="L18" s="89"/>
      <c r="M18" s="89"/>
      <c r="N18" s="89"/>
      <c r="O18" s="89"/>
      <c r="P18" s="89"/>
      <c r="Q18" s="89"/>
      <c r="R18" s="89"/>
      <c r="T18" s="226"/>
      <c r="U18" s="218"/>
      <c r="V18" s="52"/>
      <c r="X18" s="92"/>
      <c r="Y18" s="92"/>
      <c r="Z18" s="92"/>
      <c r="AA18" s="92"/>
    </row>
    <row r="19">
      <c r="B19" s="227"/>
      <c r="C19" s="228"/>
      <c r="D19" s="229"/>
      <c r="E19" s="229"/>
      <c r="F19" s="229"/>
      <c r="G19" s="229"/>
      <c r="H19" s="225"/>
      <c r="I19" s="89"/>
      <c r="J19" s="89"/>
      <c r="K19" s="89"/>
      <c r="L19" s="89"/>
      <c r="M19" s="89"/>
      <c r="N19" s="89"/>
      <c r="O19" s="89"/>
      <c r="P19" s="89"/>
      <c r="Q19" s="97"/>
      <c r="R19" s="89"/>
      <c r="T19" s="226"/>
      <c r="U19" s="218"/>
      <c r="V19" s="32"/>
      <c r="X19" s="92"/>
      <c r="Y19" s="92"/>
      <c r="Z19" s="92"/>
      <c r="AA19" s="92"/>
    </row>
    <row r="20">
      <c r="B20" s="227"/>
      <c r="C20" s="228"/>
      <c r="D20" s="229"/>
      <c r="E20" s="229"/>
      <c r="F20" s="229"/>
      <c r="G20" s="229"/>
      <c r="H20" s="225"/>
      <c r="I20" s="89"/>
      <c r="J20" s="89"/>
      <c r="K20" s="89"/>
      <c r="L20" s="89"/>
      <c r="M20" s="89"/>
      <c r="N20" s="89"/>
      <c r="O20" s="89"/>
      <c r="P20" s="89"/>
      <c r="Q20" s="97"/>
      <c r="R20" s="89"/>
      <c r="T20" s="226"/>
      <c r="U20" s="218"/>
      <c r="V20" s="32"/>
      <c r="W20" s="97"/>
      <c r="X20" s="92"/>
      <c r="Y20" s="92"/>
      <c r="Z20" s="92"/>
      <c r="AA20" s="92"/>
    </row>
    <row r="21" ht="15.75" customHeight="1">
      <c r="B21" s="227">
        <v>2.0</v>
      </c>
      <c r="C21" s="232" t="str">
        <f>PLGK!C22</f>
        <v>Belanja Alat/Bahan untuk Kegiatan Kantor- Kertas dan Cover</v>
      </c>
      <c r="G21" s="109"/>
      <c r="H21" s="233">
        <f>PLGK!J22</f>
        <v>441400</v>
      </c>
      <c r="I21" s="89" t="str">
        <f>PLGK!L22</f>
        <v/>
      </c>
      <c r="J21" s="89" t="str">
        <f>PLGK!Q22</f>
        <v/>
      </c>
      <c r="K21" s="89" t="str">
        <f>PLGK!Z22</f>
        <v/>
      </c>
      <c r="L21" s="89" t="str">
        <f>PLGK!AI22</f>
        <v/>
      </c>
      <c r="M21" s="89" t="str">
        <f>PLGK!AR22</f>
        <v/>
      </c>
      <c r="N21" s="89" t="str">
        <f>PLGK!BA22</f>
        <v/>
      </c>
      <c r="O21" s="89" t="str">
        <f>PLGK!BJ22</f>
        <v/>
      </c>
      <c r="P21" s="89" t="str">
        <f>PLGK!BS22</f>
        <v/>
      </c>
      <c r="Q21" s="89" t="str">
        <f>PLGK!CB22</f>
        <v/>
      </c>
      <c r="R21" s="89" t="str">
        <f>PLGK!CK22</f>
        <v/>
      </c>
      <c r="S21" s="89" t="str">
        <f>PLGK!CT22</f>
        <v/>
      </c>
      <c r="T21" s="226" t="str">
        <f>PLGK!DC22</f>
        <v/>
      </c>
      <c r="U21" s="218"/>
      <c r="V21" s="32"/>
      <c r="W21" s="97"/>
      <c r="X21" s="92"/>
      <c r="Y21" s="92"/>
      <c r="Z21" s="92"/>
      <c r="AA21" s="92"/>
    </row>
    <row r="22" ht="15.0" hidden="1" customHeight="1">
      <c r="B22" s="227"/>
      <c r="C22" s="135"/>
      <c r="G22" s="109"/>
      <c r="H22" s="233"/>
      <c r="I22" s="89"/>
      <c r="J22" s="89"/>
      <c r="K22" s="89"/>
      <c r="L22" s="89"/>
      <c r="M22" s="89"/>
      <c r="N22" s="89"/>
      <c r="O22" s="89"/>
      <c r="P22" s="89"/>
      <c r="Q22" s="97"/>
      <c r="R22" s="89"/>
      <c r="T22" s="226"/>
      <c r="U22" s="218"/>
      <c r="V22" s="32"/>
      <c r="X22" s="92"/>
      <c r="Y22" s="92"/>
      <c r="Z22" s="92"/>
      <c r="AA22" s="92"/>
    </row>
    <row r="23" ht="15.0" hidden="1" customHeight="1">
      <c r="B23" s="227"/>
      <c r="C23" s="135"/>
      <c r="G23" s="109"/>
      <c r="H23" s="233"/>
      <c r="I23" s="89"/>
      <c r="J23" s="89"/>
      <c r="K23" s="89"/>
      <c r="L23" s="89"/>
      <c r="M23" s="89"/>
      <c r="N23" s="89"/>
      <c r="O23" s="89"/>
      <c r="P23" s="89"/>
      <c r="Q23" s="97"/>
      <c r="R23" s="89"/>
      <c r="T23" s="226"/>
      <c r="U23" s="218"/>
      <c r="V23" s="32"/>
      <c r="X23" s="92"/>
      <c r="Y23" s="92"/>
      <c r="Z23" s="92"/>
      <c r="AA23" s="92"/>
    </row>
    <row r="24" ht="15.0" hidden="1" customHeight="1">
      <c r="B24" s="227"/>
      <c r="C24" s="135"/>
      <c r="G24" s="109"/>
      <c r="H24" s="233"/>
      <c r="I24" s="89"/>
      <c r="J24" s="89"/>
      <c r="K24" s="89"/>
      <c r="L24" s="89"/>
      <c r="M24" s="89"/>
      <c r="N24" s="89"/>
      <c r="O24" s="89"/>
      <c r="P24" s="89"/>
      <c r="Q24" s="97"/>
      <c r="R24" s="89"/>
      <c r="T24" s="226"/>
      <c r="U24" s="218"/>
      <c r="V24" s="32"/>
      <c r="X24" s="92"/>
      <c r="Y24" s="92"/>
      <c r="Z24" s="92"/>
      <c r="AA24" s="92"/>
    </row>
    <row r="25" ht="15.75" customHeight="1">
      <c r="B25" s="227"/>
      <c r="C25" s="135"/>
      <c r="G25" s="109"/>
      <c r="H25" s="233"/>
      <c r="I25" s="89"/>
      <c r="J25" s="89"/>
      <c r="K25" s="89"/>
      <c r="L25" s="89"/>
      <c r="M25" s="89"/>
      <c r="N25" s="89"/>
      <c r="O25" s="89"/>
      <c r="P25" s="89"/>
      <c r="Q25" s="97"/>
      <c r="R25" s="89"/>
      <c r="T25" s="226"/>
      <c r="U25" s="218"/>
      <c r="V25" s="149">
        <v>75.0</v>
      </c>
      <c r="W25" s="97"/>
      <c r="X25" s="92"/>
      <c r="Y25" s="92"/>
      <c r="Z25" s="92"/>
      <c r="AA25" s="92"/>
    </row>
    <row r="26" ht="15.0" hidden="1" customHeight="1">
      <c r="B26" s="227"/>
      <c r="C26" s="228"/>
      <c r="D26" s="229"/>
      <c r="E26" s="229"/>
      <c r="F26" s="229"/>
      <c r="G26" s="229"/>
      <c r="H26" s="225"/>
      <c r="I26" s="89"/>
      <c r="J26" s="89"/>
      <c r="K26" s="89"/>
      <c r="L26" s="89"/>
      <c r="M26" s="89"/>
      <c r="N26" s="89"/>
      <c r="O26" s="89"/>
      <c r="P26" s="89"/>
      <c r="Q26" s="97"/>
      <c r="R26" s="89"/>
      <c r="T26" s="226"/>
      <c r="U26" s="218"/>
      <c r="X26" s="92"/>
      <c r="Y26" s="92"/>
      <c r="Z26" s="92"/>
      <c r="AA26" s="92"/>
    </row>
    <row r="27" ht="15.0" hidden="1" customHeight="1">
      <c r="B27" s="227"/>
      <c r="C27" s="228"/>
      <c r="D27" s="229"/>
      <c r="E27" s="229"/>
      <c r="F27" s="229"/>
      <c r="G27" s="229"/>
      <c r="H27" s="225"/>
      <c r="I27" s="89"/>
      <c r="J27" s="89"/>
      <c r="K27" s="89"/>
      <c r="L27" s="89"/>
      <c r="M27" s="89"/>
      <c r="N27" s="89"/>
      <c r="O27" s="89"/>
      <c r="P27" s="89"/>
      <c r="Q27" s="97"/>
      <c r="R27" s="89"/>
      <c r="T27" s="226"/>
      <c r="U27" s="218"/>
      <c r="X27" s="92"/>
      <c r="Y27" s="92"/>
      <c r="Z27" s="92"/>
      <c r="AA27" s="92"/>
    </row>
    <row r="28" ht="15.0" hidden="1" customHeight="1">
      <c r="B28" s="227"/>
      <c r="C28" s="228"/>
      <c r="D28" s="229"/>
      <c r="E28" s="229"/>
      <c r="F28" s="229"/>
      <c r="G28" s="229"/>
      <c r="H28" s="225"/>
      <c r="I28" s="89"/>
      <c r="J28" s="89"/>
      <c r="K28" s="89"/>
      <c r="L28" s="89"/>
      <c r="M28" s="89"/>
      <c r="N28" s="89"/>
      <c r="O28" s="89"/>
      <c r="P28" s="89"/>
      <c r="Q28" s="97"/>
      <c r="R28" s="89"/>
      <c r="T28" s="226"/>
      <c r="U28" s="218"/>
      <c r="X28" s="92"/>
      <c r="Y28" s="92"/>
      <c r="Z28" s="92"/>
      <c r="AA28" s="92"/>
    </row>
    <row r="29" ht="15.75" customHeight="1">
      <c r="B29" s="227"/>
      <c r="C29" s="228"/>
      <c r="D29" s="229"/>
      <c r="E29" s="229"/>
      <c r="F29" s="229"/>
      <c r="G29" s="229"/>
      <c r="H29" s="225"/>
      <c r="I29" s="89"/>
      <c r="J29" s="89"/>
      <c r="K29" s="89"/>
      <c r="L29" s="89"/>
      <c r="M29" s="89"/>
      <c r="N29" s="89"/>
      <c r="O29" s="89"/>
      <c r="P29" s="89"/>
      <c r="Q29" s="97"/>
      <c r="R29" s="89"/>
      <c r="T29" s="226"/>
      <c r="U29" s="234"/>
      <c r="W29" s="97"/>
      <c r="X29" s="92"/>
      <c r="Y29" s="92"/>
      <c r="Z29" s="92"/>
      <c r="AA29" s="92"/>
    </row>
    <row r="30" ht="15.75" customHeight="1">
      <c r="B30" s="227"/>
      <c r="C30" s="228"/>
      <c r="D30" s="229"/>
      <c r="E30" s="229"/>
      <c r="F30" s="229"/>
      <c r="G30" s="229"/>
      <c r="H30" s="225"/>
      <c r="I30" s="89"/>
      <c r="J30" s="89"/>
      <c r="K30" s="89"/>
      <c r="L30" s="89"/>
      <c r="M30" s="89"/>
      <c r="N30" s="89"/>
      <c r="O30" s="89"/>
      <c r="P30" s="89"/>
      <c r="Q30" s="97"/>
      <c r="R30" s="89"/>
      <c r="T30" s="226"/>
      <c r="U30" s="218"/>
      <c r="V30" s="32"/>
      <c r="W30" s="97"/>
      <c r="X30" s="92"/>
      <c r="Y30" s="92"/>
      <c r="Z30" s="92"/>
      <c r="AA30" s="92"/>
    </row>
    <row r="31" ht="3.0" hidden="1" customHeight="1">
      <c r="B31" s="227"/>
      <c r="C31" s="228"/>
      <c r="D31" s="229"/>
      <c r="E31" s="229"/>
      <c r="F31" s="229"/>
      <c r="G31" s="229"/>
      <c r="H31" s="225"/>
      <c r="I31" s="89"/>
      <c r="J31" s="89"/>
      <c r="K31" s="89"/>
      <c r="L31" s="89"/>
      <c r="M31" s="89"/>
      <c r="N31" s="89"/>
      <c r="O31" s="89"/>
      <c r="P31" s="89"/>
      <c r="Q31" s="97"/>
      <c r="R31" s="89"/>
      <c r="T31" s="226"/>
      <c r="U31" s="218"/>
      <c r="V31" s="32"/>
      <c r="X31" s="92"/>
      <c r="Y31" s="92"/>
      <c r="Z31" s="92"/>
      <c r="AA31" s="92"/>
    </row>
    <row r="32" ht="21.0" customHeight="1">
      <c r="B32" s="227">
        <v>3.0</v>
      </c>
      <c r="C32" s="228" t="str">
        <f>PLGK!C26</f>
        <v>Belanja Alat/Bahan untuk Kegiatan Kantor- Bahan Cetak</v>
      </c>
      <c r="D32" s="229"/>
      <c r="E32" s="229"/>
      <c r="F32" s="229"/>
      <c r="G32" s="229"/>
      <c r="H32" s="225" t="str">
        <f>PLGK!#REF!</f>
        <v>#ERROR!</v>
      </c>
      <c r="I32" s="89" t="str">
        <f>PLGK!#REF!</f>
        <v>#ERROR!</v>
      </c>
      <c r="J32" s="89" t="str">
        <f>PLGK!#REF!</f>
        <v>#ERROR!</v>
      </c>
      <c r="K32" s="89" t="str">
        <f>PLGK!#REF!</f>
        <v>#ERROR!</v>
      </c>
      <c r="L32" s="89" t="str">
        <f>PLGK!#REF!</f>
        <v>#ERROR!</v>
      </c>
      <c r="M32" s="89" t="str">
        <f>PLGK!#REF!</f>
        <v>#ERROR!</v>
      </c>
      <c r="N32" s="89" t="str">
        <f>PLGK!#REF!</f>
        <v>#ERROR!</v>
      </c>
      <c r="O32" s="89" t="str">
        <f>PLGK!#REF!</f>
        <v>#ERROR!</v>
      </c>
      <c r="P32" s="89" t="str">
        <f>PLGK!#REF!</f>
        <v>#ERROR!</v>
      </c>
      <c r="Q32" s="89" t="str">
        <f>PLGK!#REF!</f>
        <v>#ERROR!</v>
      </c>
      <c r="R32" s="89" t="str">
        <f>PLGK!#REF!</f>
        <v>#ERROR!</v>
      </c>
      <c r="S32" s="89" t="str">
        <f>PLGK!#REF!</f>
        <v>#ERROR!</v>
      </c>
      <c r="T32" s="226" t="str">
        <f>PLGK!#REF!</f>
        <v>#ERROR!</v>
      </c>
      <c r="U32" s="218"/>
      <c r="V32" s="32"/>
      <c r="W32" s="97"/>
      <c r="X32" s="92"/>
      <c r="Y32" s="92"/>
      <c r="Z32" s="92"/>
      <c r="AA32" s="92"/>
    </row>
    <row r="33" ht="15.75" customHeight="1">
      <c r="B33" s="227"/>
      <c r="C33" s="228"/>
      <c r="D33" s="229"/>
      <c r="E33" s="229"/>
      <c r="F33" s="229"/>
      <c r="G33" s="229"/>
      <c r="H33" s="225"/>
      <c r="I33" s="89"/>
      <c r="J33" s="89"/>
      <c r="K33" s="89"/>
      <c r="L33" s="89"/>
      <c r="M33" s="89"/>
      <c r="N33" s="89"/>
      <c r="O33" s="89"/>
      <c r="P33" s="89"/>
      <c r="Q33" s="97"/>
      <c r="R33" s="89"/>
      <c r="T33" s="226"/>
      <c r="U33" s="218"/>
      <c r="V33" s="32"/>
      <c r="W33" s="97"/>
      <c r="X33" s="92"/>
      <c r="Y33" s="92"/>
      <c r="Z33" s="92"/>
      <c r="AA33" s="92"/>
    </row>
    <row r="34" ht="15.0" hidden="1" customHeight="1">
      <c r="B34" s="227"/>
      <c r="C34" s="228"/>
      <c r="D34" s="229"/>
      <c r="E34" s="229"/>
      <c r="F34" s="229"/>
      <c r="G34" s="229"/>
      <c r="H34" s="225"/>
      <c r="I34" s="89"/>
      <c r="J34" s="89"/>
      <c r="K34" s="89"/>
      <c r="L34" s="89"/>
      <c r="M34" s="89"/>
      <c r="N34" s="89"/>
      <c r="O34" s="89"/>
      <c r="P34" s="89"/>
      <c r="Q34" s="97"/>
      <c r="R34" s="89"/>
      <c r="T34" s="226"/>
      <c r="U34" s="218"/>
      <c r="V34" s="32"/>
      <c r="X34" s="92"/>
      <c r="Y34" s="92"/>
      <c r="Z34" s="92"/>
      <c r="AA34" s="92"/>
    </row>
    <row r="35" ht="15.0" hidden="1" customHeight="1">
      <c r="B35" s="227"/>
      <c r="C35" s="228"/>
      <c r="D35" s="229"/>
      <c r="E35" s="229"/>
      <c r="F35" s="229"/>
      <c r="G35" s="229"/>
      <c r="H35" s="225"/>
      <c r="I35" s="89"/>
      <c r="J35" s="89"/>
      <c r="K35" s="89"/>
      <c r="L35" s="89"/>
      <c r="M35" s="89"/>
      <c r="N35" s="89"/>
      <c r="O35" s="89"/>
      <c r="P35" s="89"/>
      <c r="Q35" s="97"/>
      <c r="R35" s="89"/>
      <c r="T35" s="226"/>
      <c r="U35" s="218"/>
      <c r="V35" s="32"/>
      <c r="X35" s="92"/>
      <c r="Y35" s="92"/>
      <c r="Z35" s="92"/>
      <c r="AA35" s="92"/>
    </row>
    <row r="36" ht="15.0" hidden="1" customHeight="1">
      <c r="B36" s="227"/>
      <c r="C36" s="228"/>
      <c r="D36" s="229"/>
      <c r="E36" s="229"/>
      <c r="F36" s="229"/>
      <c r="G36" s="229"/>
      <c r="H36" s="225"/>
      <c r="I36" s="89"/>
      <c r="J36" s="89"/>
      <c r="K36" s="89"/>
      <c r="L36" s="89"/>
      <c r="M36" s="89"/>
      <c r="N36" s="89"/>
      <c r="O36" s="89"/>
      <c r="P36" s="89"/>
      <c r="Q36" s="97"/>
      <c r="R36" s="89"/>
      <c r="T36" s="226"/>
      <c r="U36" s="218"/>
      <c r="V36" s="32"/>
      <c r="X36" s="92"/>
      <c r="Y36" s="92"/>
      <c r="Z36" s="92"/>
      <c r="AA36" s="92"/>
    </row>
    <row r="37" ht="15.0" hidden="1" customHeight="1">
      <c r="B37" s="227"/>
      <c r="C37" s="228"/>
      <c r="D37" s="229"/>
      <c r="E37" s="229"/>
      <c r="F37" s="229"/>
      <c r="G37" s="229"/>
      <c r="H37" s="225"/>
      <c r="I37" s="89"/>
      <c r="J37" s="89"/>
      <c r="K37" s="89"/>
      <c r="L37" s="89"/>
      <c r="M37" s="89"/>
      <c r="N37" s="89"/>
      <c r="O37" s="89"/>
      <c r="P37" s="89"/>
      <c r="Q37" s="97"/>
      <c r="R37" s="89"/>
      <c r="T37" s="226"/>
      <c r="U37" s="218"/>
      <c r="V37" s="32"/>
      <c r="X37" s="92"/>
      <c r="Y37" s="92"/>
      <c r="Z37" s="92"/>
      <c r="AA37" s="92"/>
    </row>
    <row r="38" ht="15.0" hidden="1" customHeight="1">
      <c r="B38" s="227"/>
      <c r="C38" s="228"/>
      <c r="D38" s="229"/>
      <c r="E38" s="229"/>
      <c r="F38" s="229"/>
      <c r="G38" s="229"/>
      <c r="H38" s="225"/>
      <c r="I38" s="89"/>
      <c r="J38" s="89"/>
      <c r="K38" s="89"/>
      <c r="L38" s="89"/>
      <c r="M38" s="89"/>
      <c r="N38" s="89"/>
      <c r="O38" s="89"/>
      <c r="P38" s="89"/>
      <c r="Q38" s="97"/>
      <c r="R38" s="89"/>
      <c r="T38" s="226"/>
      <c r="U38" s="218"/>
      <c r="V38" s="32"/>
      <c r="X38" s="92"/>
      <c r="Y38" s="92"/>
      <c r="Z38" s="92"/>
      <c r="AA38" s="92"/>
    </row>
    <row r="39" ht="15.0" hidden="1" customHeight="1">
      <c r="B39" s="227"/>
      <c r="C39" s="228"/>
      <c r="D39" s="229"/>
      <c r="E39" s="229"/>
      <c r="F39" s="229"/>
      <c r="G39" s="229"/>
      <c r="H39" s="225"/>
      <c r="I39" s="89"/>
      <c r="J39" s="89"/>
      <c r="K39" s="89"/>
      <c r="L39" s="89"/>
      <c r="M39" s="89"/>
      <c r="N39" s="89"/>
      <c r="O39" s="89"/>
      <c r="P39" s="89"/>
      <c r="Q39" s="97"/>
      <c r="R39" s="89"/>
      <c r="T39" s="226"/>
      <c r="U39" s="218"/>
      <c r="V39" s="32"/>
      <c r="X39" s="92"/>
      <c r="Y39" s="92"/>
      <c r="Z39" s="92"/>
      <c r="AA39" s="92"/>
    </row>
    <row r="40" ht="15.0" hidden="1" customHeight="1">
      <c r="B40" s="227"/>
      <c r="C40" s="228"/>
      <c r="D40" s="229"/>
      <c r="E40" s="229"/>
      <c r="F40" s="229"/>
      <c r="G40" s="229"/>
      <c r="H40" s="225"/>
      <c r="I40" s="89"/>
      <c r="J40" s="89"/>
      <c r="K40" s="89"/>
      <c r="L40" s="89"/>
      <c r="M40" s="89"/>
      <c r="N40" s="89"/>
      <c r="O40" s="89"/>
      <c r="P40" s="89"/>
      <c r="Q40" s="97"/>
      <c r="R40" s="89"/>
      <c r="T40" s="226"/>
      <c r="U40" s="218"/>
      <c r="V40" s="32"/>
      <c r="X40" s="92"/>
      <c r="Y40" s="92"/>
      <c r="Z40" s="92"/>
      <c r="AA40" s="92"/>
    </row>
    <row r="41" ht="15.0" hidden="1" customHeight="1">
      <c r="B41" s="227"/>
      <c r="C41" s="228"/>
      <c r="D41" s="229"/>
      <c r="E41" s="229"/>
      <c r="F41" s="229"/>
      <c r="G41" s="229"/>
      <c r="H41" s="225"/>
      <c r="I41" s="89"/>
      <c r="J41" s="89"/>
      <c r="K41" s="89"/>
      <c r="L41" s="89"/>
      <c r="M41" s="89"/>
      <c r="N41" s="89"/>
      <c r="O41" s="89"/>
      <c r="P41" s="89"/>
      <c r="Q41" s="97"/>
      <c r="R41" s="89"/>
      <c r="T41" s="226"/>
      <c r="U41" s="218"/>
      <c r="V41" s="32"/>
      <c r="X41" s="92"/>
      <c r="Y41" s="92"/>
      <c r="Z41" s="92"/>
      <c r="AA41" s="92"/>
    </row>
    <row r="42" ht="15.75" customHeight="1">
      <c r="B42" s="227"/>
      <c r="C42" s="228"/>
      <c r="D42" s="229"/>
      <c r="E42" s="229"/>
      <c r="F42" s="229"/>
      <c r="G42" s="229"/>
      <c r="H42" s="225"/>
      <c r="I42" s="89"/>
      <c r="J42" s="89"/>
      <c r="K42" s="89"/>
      <c r="L42" s="89"/>
      <c r="M42" s="89"/>
      <c r="N42" s="89"/>
      <c r="O42" s="89"/>
      <c r="P42" s="89"/>
      <c r="Q42" s="97"/>
      <c r="R42" s="89"/>
      <c r="T42" s="226"/>
      <c r="U42" s="218"/>
      <c r="V42" s="32"/>
      <c r="W42" s="97"/>
      <c r="X42" s="92"/>
      <c r="Y42" s="92"/>
      <c r="Z42" s="92"/>
      <c r="AA42" s="92"/>
    </row>
    <row r="43" ht="15.75" customHeight="1">
      <c r="B43" s="227">
        <v>4.0</v>
      </c>
      <c r="C43" s="228" t="str">
        <f>PLGK!C26</f>
        <v>Belanja Alat/Bahan untuk Kegiatan Kantor- Bahan Cetak</v>
      </c>
      <c r="D43" s="229"/>
      <c r="E43" s="229"/>
      <c r="F43" s="229"/>
      <c r="G43" s="229"/>
      <c r="H43" s="225" t="str">
        <f>PLGK!#REF!</f>
        <v>#ERROR!</v>
      </c>
      <c r="I43" s="89" t="str">
        <f>PLGK!#REF!</f>
        <v>#ERROR!</v>
      </c>
      <c r="J43" s="89" t="str">
        <f>PLGK!#REF!</f>
        <v>#ERROR!</v>
      </c>
      <c r="K43" s="89" t="str">
        <f>PLGK!#REF!</f>
        <v>#ERROR!</v>
      </c>
      <c r="L43" s="89" t="str">
        <f>PLGK!#REF!</f>
        <v>#ERROR!</v>
      </c>
      <c r="M43" s="89" t="str">
        <f>PLGK!#REF!</f>
        <v>#ERROR!</v>
      </c>
      <c r="N43" s="89" t="str">
        <f>PLGK!#REF!</f>
        <v>#ERROR!</v>
      </c>
      <c r="O43" s="89" t="str">
        <f>PLGK!#REF!</f>
        <v>#ERROR!</v>
      </c>
      <c r="P43" s="89" t="str">
        <f>PLGK!#REF!</f>
        <v>#ERROR!</v>
      </c>
      <c r="Q43" s="89" t="str">
        <f>PLGK!#REF!</f>
        <v>#ERROR!</v>
      </c>
      <c r="R43" s="89" t="str">
        <f>PLGK!#REF!</f>
        <v>#ERROR!</v>
      </c>
      <c r="S43" s="89" t="str">
        <f>PLGK!#REF!</f>
        <v>#ERROR!</v>
      </c>
      <c r="T43" s="226" t="str">
        <f>PLGK!#REF!</f>
        <v>#ERROR!</v>
      </c>
      <c r="U43" s="218"/>
      <c r="V43" s="32"/>
      <c r="W43" s="97"/>
      <c r="X43" s="92"/>
      <c r="Y43" s="92"/>
      <c r="Z43" s="92"/>
      <c r="AA43" s="92"/>
    </row>
    <row r="44" ht="15.75" customHeight="1">
      <c r="B44" s="227"/>
      <c r="C44" s="228"/>
      <c r="D44" s="229"/>
      <c r="E44" s="229"/>
      <c r="F44" s="229"/>
      <c r="G44" s="229"/>
      <c r="H44" s="225"/>
      <c r="I44" s="89"/>
      <c r="J44" s="89"/>
      <c r="K44" s="89"/>
      <c r="L44" s="89"/>
      <c r="M44" s="89"/>
      <c r="N44" s="89"/>
      <c r="O44" s="89"/>
      <c r="P44" s="89"/>
      <c r="Q44" s="97"/>
      <c r="R44" s="89"/>
      <c r="T44" s="226"/>
      <c r="U44" s="218"/>
      <c r="V44" s="52">
        <v>50.0</v>
      </c>
      <c r="W44" s="97"/>
      <c r="X44" s="92"/>
      <c r="Y44" s="92"/>
      <c r="Z44" s="92"/>
      <c r="AA44" s="92"/>
    </row>
    <row r="45" ht="15.0" hidden="1" customHeight="1">
      <c r="B45" s="227"/>
      <c r="C45" s="228"/>
      <c r="D45" s="229"/>
      <c r="E45" s="229"/>
      <c r="F45" s="229"/>
      <c r="G45" s="229"/>
      <c r="H45" s="225"/>
      <c r="I45" s="89"/>
      <c r="J45" s="89"/>
      <c r="K45" s="89"/>
      <c r="L45" s="89"/>
      <c r="M45" s="89"/>
      <c r="N45" s="89"/>
      <c r="O45" s="89"/>
      <c r="P45" s="89"/>
      <c r="Q45" s="97"/>
      <c r="R45" s="89"/>
      <c r="T45" s="226"/>
      <c r="U45" s="218"/>
      <c r="X45" s="92"/>
      <c r="Y45" s="92"/>
      <c r="Z45" s="92"/>
      <c r="AA45" s="92"/>
    </row>
    <row r="46" ht="15.0" hidden="1" customHeight="1">
      <c r="B46" s="227"/>
      <c r="C46" s="228"/>
      <c r="D46" s="229"/>
      <c r="E46" s="229"/>
      <c r="F46" s="229"/>
      <c r="G46" s="229"/>
      <c r="H46" s="225"/>
      <c r="I46" s="89"/>
      <c r="J46" s="89"/>
      <c r="K46" s="89"/>
      <c r="L46" s="89"/>
      <c r="M46" s="89"/>
      <c r="N46" s="89"/>
      <c r="O46" s="89"/>
      <c r="P46" s="89"/>
      <c r="Q46" s="97"/>
      <c r="R46" s="89"/>
      <c r="T46" s="226"/>
      <c r="U46" s="218"/>
      <c r="X46" s="92"/>
      <c r="Y46" s="92"/>
      <c r="Z46" s="92"/>
      <c r="AA46" s="92"/>
    </row>
    <row r="47" ht="15.75" customHeight="1">
      <c r="B47" s="227"/>
      <c r="C47" s="228"/>
      <c r="D47" s="229"/>
      <c r="E47" s="229"/>
      <c r="F47" s="229"/>
      <c r="G47" s="229"/>
      <c r="H47" s="225"/>
      <c r="I47" s="89"/>
      <c r="J47" s="89"/>
      <c r="K47" s="89"/>
      <c r="L47" s="89"/>
      <c r="M47" s="89"/>
      <c r="N47" s="89"/>
      <c r="O47" s="89"/>
      <c r="P47" s="89"/>
      <c r="Q47" s="97"/>
      <c r="R47" s="89"/>
      <c r="T47" s="226"/>
      <c r="U47" s="234"/>
      <c r="W47" s="97"/>
      <c r="X47" s="92"/>
      <c r="Y47" s="92"/>
      <c r="Z47" s="92"/>
      <c r="AA47" s="92"/>
    </row>
    <row r="48" ht="15.75" customHeight="1">
      <c r="B48" s="227">
        <v>5.0</v>
      </c>
      <c r="C48" s="228" t="str">
        <f>PLGK!C29</f>
        <v>Belanja Alat/Bahan untuk Kegiatan Kantor-Benda Pos</v>
      </c>
      <c r="D48" s="229"/>
      <c r="E48" s="229"/>
      <c r="F48" s="229"/>
      <c r="G48" s="229"/>
      <c r="H48" s="225">
        <f>PLGK!J32</f>
        <v>31208000</v>
      </c>
      <c r="I48" s="89" t="str">
        <f>PLGK!L32</f>
        <v/>
      </c>
      <c r="J48" s="89" t="str">
        <f>PLGK!Q32</f>
        <v/>
      </c>
      <c r="K48" s="89" t="str">
        <f>PLGK!Z32</f>
        <v/>
      </c>
      <c r="L48" s="89" t="str">
        <f>PLGK!AI32</f>
        <v/>
      </c>
      <c r="M48" s="89" t="str">
        <f>PLGK!AR32</f>
        <v/>
      </c>
      <c r="N48" s="89" t="str">
        <f>PLGK!BA32</f>
        <v/>
      </c>
      <c r="O48" s="89" t="str">
        <f>PLGK!BJ32</f>
        <v/>
      </c>
      <c r="P48" s="89" t="str">
        <f>PLGK!BS32</f>
        <v/>
      </c>
      <c r="Q48" s="89" t="str">
        <f>PLGK!CB32</f>
        <v/>
      </c>
      <c r="R48" s="89" t="str">
        <f>PLGK!CK32</f>
        <v/>
      </c>
      <c r="S48" s="89" t="str">
        <f>PLGK!CT32</f>
        <v/>
      </c>
      <c r="T48" s="226" t="str">
        <f>PLGK!DC32</f>
        <v/>
      </c>
      <c r="U48" s="218"/>
      <c r="V48" s="32"/>
      <c r="W48" s="97"/>
      <c r="X48" s="92"/>
      <c r="Y48" s="92"/>
      <c r="Z48" s="92"/>
      <c r="AA48" s="92"/>
    </row>
    <row r="49" ht="15.0" hidden="1" customHeight="1">
      <c r="B49" s="227"/>
      <c r="C49" s="228"/>
      <c r="D49" s="229"/>
      <c r="E49" s="229"/>
      <c r="F49" s="229"/>
      <c r="G49" s="229"/>
      <c r="H49" s="225"/>
      <c r="I49" s="89"/>
      <c r="J49" s="89"/>
      <c r="K49" s="89"/>
      <c r="L49" s="89"/>
      <c r="M49" s="89"/>
      <c r="N49" s="89"/>
      <c r="O49" s="89"/>
      <c r="P49" s="89"/>
      <c r="Q49" s="97"/>
      <c r="R49" s="89"/>
      <c r="T49" s="226"/>
      <c r="U49" s="218"/>
      <c r="V49" s="32"/>
      <c r="X49" s="92"/>
      <c r="Y49" s="92"/>
      <c r="Z49" s="92"/>
      <c r="AA49" s="92"/>
    </row>
    <row r="50" ht="15.0" hidden="1" customHeight="1">
      <c r="B50" s="227"/>
      <c r="C50" s="228"/>
      <c r="D50" s="229"/>
      <c r="E50" s="229"/>
      <c r="F50" s="229"/>
      <c r="G50" s="229"/>
      <c r="H50" s="225"/>
      <c r="I50" s="89"/>
      <c r="J50" s="89"/>
      <c r="K50" s="89"/>
      <c r="L50" s="89"/>
      <c r="M50" s="89"/>
      <c r="N50" s="89"/>
      <c r="O50" s="89"/>
      <c r="P50" s="89"/>
      <c r="Q50" s="97"/>
      <c r="R50" s="89"/>
      <c r="T50" s="226"/>
      <c r="U50" s="218"/>
      <c r="V50" s="32"/>
      <c r="X50" s="92"/>
      <c r="Y50" s="92"/>
      <c r="Z50" s="92"/>
      <c r="AA50" s="92"/>
    </row>
    <row r="51" ht="15.0" hidden="1" customHeight="1">
      <c r="B51" s="227"/>
      <c r="C51" s="228"/>
      <c r="D51" s="229"/>
      <c r="E51" s="229"/>
      <c r="F51" s="229"/>
      <c r="G51" s="229"/>
      <c r="H51" s="225"/>
      <c r="I51" s="89"/>
      <c r="J51" s="89"/>
      <c r="K51" s="89"/>
      <c r="L51" s="89"/>
      <c r="M51" s="89"/>
      <c r="N51" s="89"/>
      <c r="O51" s="89"/>
      <c r="P51" s="89"/>
      <c r="Q51" s="97"/>
      <c r="R51" s="89"/>
      <c r="T51" s="226"/>
      <c r="U51" s="218"/>
      <c r="V51" s="32"/>
      <c r="X51" s="92"/>
      <c r="Y51" s="92"/>
      <c r="Z51" s="92"/>
      <c r="AA51" s="92"/>
    </row>
    <row r="52" ht="15.75" customHeight="1">
      <c r="B52" s="227"/>
      <c r="C52" s="228"/>
      <c r="D52" s="229"/>
      <c r="E52" s="229"/>
      <c r="F52" s="229"/>
      <c r="G52" s="229"/>
      <c r="H52" s="225"/>
      <c r="I52" s="89"/>
      <c r="J52" s="89"/>
      <c r="K52" s="89"/>
      <c r="L52" s="89"/>
      <c r="M52" s="89"/>
      <c r="N52" s="89"/>
      <c r="O52" s="89"/>
      <c r="P52" s="89"/>
      <c r="Q52" s="97"/>
      <c r="R52" s="89"/>
      <c r="T52" s="226"/>
      <c r="U52" s="218"/>
      <c r="V52" s="32"/>
      <c r="W52" s="97"/>
      <c r="X52" s="92"/>
      <c r="Y52" s="92"/>
      <c r="Z52" s="92"/>
      <c r="AA52" s="92"/>
    </row>
    <row r="53" ht="15.75" customHeight="1">
      <c r="B53" s="227"/>
      <c r="C53" s="228"/>
      <c r="D53" s="229"/>
      <c r="E53" s="229"/>
      <c r="F53" s="229"/>
      <c r="G53" s="229"/>
      <c r="H53" s="225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226"/>
      <c r="U53" s="218"/>
      <c r="V53" s="32"/>
      <c r="W53" s="97"/>
      <c r="X53" s="92"/>
      <c r="Y53" s="92"/>
      <c r="Z53" s="92"/>
      <c r="AA53" s="92"/>
    </row>
    <row r="54" ht="15.75" hidden="1" customHeight="1">
      <c r="B54" s="227"/>
      <c r="C54" s="228"/>
      <c r="D54" s="229"/>
      <c r="E54" s="229"/>
      <c r="F54" s="229"/>
      <c r="G54" s="229"/>
      <c r="H54" s="225"/>
      <c r="I54" s="89"/>
      <c r="J54" s="89"/>
      <c r="K54" s="89"/>
      <c r="L54" s="89"/>
      <c r="M54" s="89"/>
      <c r="N54" s="89"/>
      <c r="O54" s="89"/>
      <c r="P54" s="89"/>
      <c r="Q54" s="97"/>
      <c r="R54" s="89"/>
      <c r="T54" s="226"/>
      <c r="U54" s="218"/>
      <c r="V54" s="52"/>
      <c r="X54" s="92"/>
      <c r="Y54" s="92"/>
      <c r="Z54" s="92"/>
      <c r="AA54" s="92"/>
    </row>
    <row r="55" ht="15.75" hidden="1" customHeight="1">
      <c r="B55" s="221"/>
      <c r="C55" s="228"/>
      <c r="D55" s="230"/>
      <c r="E55" s="230"/>
      <c r="F55" s="230"/>
      <c r="G55" s="230"/>
      <c r="H55" s="225"/>
      <c r="I55" s="89"/>
      <c r="J55" s="89"/>
      <c r="K55" s="89"/>
      <c r="L55" s="89"/>
      <c r="M55" s="89"/>
      <c r="N55" s="89"/>
      <c r="O55" s="89"/>
      <c r="P55" s="89"/>
      <c r="Q55" s="97"/>
      <c r="R55" s="89"/>
      <c r="S55" s="97"/>
      <c r="T55" s="226"/>
      <c r="U55" s="218"/>
      <c r="V55" s="52"/>
      <c r="X55" s="92"/>
      <c r="Y55" s="92"/>
      <c r="Z55" s="92"/>
      <c r="AA55" s="92"/>
    </row>
    <row r="56" ht="15.75" hidden="1" customHeight="1">
      <c r="B56" s="227"/>
      <c r="C56" s="228"/>
      <c r="D56" s="229"/>
      <c r="E56" s="229"/>
      <c r="F56" s="229"/>
      <c r="G56" s="229"/>
      <c r="H56" s="225"/>
      <c r="I56" s="89"/>
      <c r="J56" s="89"/>
      <c r="K56" s="89"/>
      <c r="L56" s="89"/>
      <c r="M56" s="89"/>
      <c r="N56" s="89"/>
      <c r="O56" s="89"/>
      <c r="P56" s="89"/>
      <c r="Q56" s="97"/>
      <c r="R56" s="89"/>
      <c r="S56" s="97"/>
      <c r="T56" s="226"/>
      <c r="U56" s="218"/>
      <c r="X56" s="92"/>
      <c r="Y56" s="92"/>
      <c r="Z56" s="92"/>
      <c r="AA56" s="92"/>
    </row>
    <row r="57" ht="15.75" hidden="1" customHeight="1">
      <c r="B57" s="227"/>
      <c r="C57" s="228"/>
      <c r="D57" s="229"/>
      <c r="E57" s="229"/>
      <c r="F57" s="229"/>
      <c r="G57" s="229"/>
      <c r="H57" s="225"/>
      <c r="I57" s="89"/>
      <c r="J57" s="89"/>
      <c r="K57" s="89"/>
      <c r="L57" s="89"/>
      <c r="M57" s="89"/>
      <c r="N57" s="89"/>
      <c r="O57" s="89"/>
      <c r="P57" s="89"/>
      <c r="Q57" s="97"/>
      <c r="R57" s="89"/>
      <c r="S57" s="97"/>
      <c r="T57" s="226"/>
      <c r="U57" s="218"/>
      <c r="V57" s="52"/>
      <c r="X57" s="92"/>
      <c r="Y57" s="92"/>
      <c r="Z57" s="92"/>
      <c r="AA57" s="92"/>
    </row>
    <row r="58" ht="15.75" customHeight="1">
      <c r="B58" s="227">
        <v>6.0</v>
      </c>
      <c r="C58" s="228" t="str">
        <f>PLGK!C34</f>
        <v>Belanja Perjalanan Dinas Biasa</v>
      </c>
      <c r="D58" s="229"/>
      <c r="E58" s="229"/>
      <c r="F58" s="229"/>
      <c r="G58" s="229"/>
      <c r="H58" s="225">
        <f>PLGK!J42</f>
        <v>61372400</v>
      </c>
      <c r="I58" s="89" t="str">
        <f>PLGK!L42</f>
        <v/>
      </c>
      <c r="J58" s="89" t="str">
        <f>PLGK!Q42</f>
        <v/>
      </c>
      <c r="K58" s="89" t="str">
        <f>PLGK!Z42</f>
        <v/>
      </c>
      <c r="L58" s="89" t="str">
        <f>PLGK!AI42</f>
        <v/>
      </c>
      <c r="M58" s="89" t="str">
        <f>PLGK!AR42</f>
        <v/>
      </c>
      <c r="N58" s="89" t="str">
        <f>PLGK!BA42</f>
        <v/>
      </c>
      <c r="O58" s="89" t="str">
        <f>PLGK!BJ42</f>
        <v/>
      </c>
      <c r="P58" s="89" t="str">
        <f>PLGK!BS42</f>
        <v/>
      </c>
      <c r="Q58" s="89" t="str">
        <f>PLGK!CB42</f>
        <v/>
      </c>
      <c r="R58" s="89" t="str">
        <f>PLGK!CK42</f>
        <v/>
      </c>
      <c r="S58" s="89" t="str">
        <f>PLGK!CT42</f>
        <v/>
      </c>
      <c r="T58" s="226" t="str">
        <f>PLGK!DC42</f>
        <v/>
      </c>
      <c r="U58" s="218"/>
      <c r="V58" s="52"/>
      <c r="W58" s="97"/>
      <c r="X58" s="92"/>
      <c r="Y58" s="92"/>
      <c r="Z58" s="92"/>
      <c r="AA58" s="92"/>
    </row>
    <row r="59" ht="15.75" customHeight="1">
      <c r="B59" s="227"/>
      <c r="C59" s="228"/>
      <c r="D59" s="229"/>
      <c r="E59" s="229"/>
      <c r="F59" s="229"/>
      <c r="G59" s="229"/>
      <c r="H59" s="225"/>
      <c r="I59" s="89"/>
      <c r="J59" s="89"/>
      <c r="K59" s="89"/>
      <c r="L59" s="89"/>
      <c r="M59" s="89"/>
      <c r="N59" s="89"/>
      <c r="O59" s="89"/>
      <c r="P59" s="89"/>
      <c r="Q59" s="97"/>
      <c r="R59" s="89"/>
      <c r="S59" s="97"/>
      <c r="T59" s="226"/>
      <c r="U59" s="218"/>
      <c r="V59" s="52">
        <v>25.0</v>
      </c>
      <c r="W59" s="97"/>
      <c r="X59" s="92"/>
      <c r="Y59" s="92"/>
      <c r="Z59" s="92"/>
      <c r="AA59" s="92"/>
    </row>
    <row r="60" ht="15.75" customHeight="1">
      <c r="B60" s="227"/>
      <c r="C60" s="228"/>
      <c r="D60" s="229"/>
      <c r="E60" s="229"/>
      <c r="F60" s="229"/>
      <c r="G60" s="229"/>
      <c r="H60" s="225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226"/>
      <c r="U60" s="234"/>
      <c r="W60" s="97"/>
      <c r="X60" s="92"/>
      <c r="Y60" s="92"/>
      <c r="Z60" s="92"/>
      <c r="AA60" s="92"/>
    </row>
    <row r="61" ht="15.0" hidden="1" customHeight="1">
      <c r="B61" s="227"/>
      <c r="C61" s="228"/>
      <c r="D61" s="229"/>
      <c r="E61" s="229"/>
      <c r="F61" s="229"/>
      <c r="G61" s="229"/>
      <c r="H61" s="225"/>
      <c r="I61" s="89"/>
      <c r="J61" s="89"/>
      <c r="K61" s="89"/>
      <c r="L61" s="89"/>
      <c r="M61" s="89"/>
      <c r="N61" s="89"/>
      <c r="O61" s="89"/>
      <c r="P61" s="89"/>
      <c r="Q61" s="97"/>
      <c r="R61" s="89"/>
      <c r="S61" s="97"/>
      <c r="T61" s="226"/>
      <c r="U61" s="218"/>
      <c r="X61" s="92"/>
      <c r="Y61" s="92"/>
      <c r="Z61" s="92"/>
      <c r="AA61" s="92"/>
    </row>
    <row r="62" ht="15.75" customHeight="1">
      <c r="B62" s="227">
        <v>7.0</v>
      </c>
      <c r="C62" s="228" t="str">
        <f>PLGK!C45</f>
        <v>Belanja Modal Alat Kantor Lainnya</v>
      </c>
      <c r="D62" s="229"/>
      <c r="E62" s="229"/>
      <c r="F62" s="229"/>
      <c r="G62" s="229"/>
      <c r="H62" s="225">
        <f>PLGK!J46</f>
        <v>34347600</v>
      </c>
      <c r="I62" s="89" t="str">
        <f>PLGK!L46</f>
        <v/>
      </c>
      <c r="J62" s="89" t="str">
        <f>PLGK!Q46</f>
        <v/>
      </c>
      <c r="K62" s="89" t="str">
        <f>PLGK!Z46</f>
        <v/>
      </c>
      <c r="L62" s="89" t="str">
        <f>PLGK!AI46</f>
        <v/>
      </c>
      <c r="M62" s="89" t="str">
        <f>PLGK!AR46</f>
        <v/>
      </c>
      <c r="N62" s="89" t="str">
        <f>PLGK!BA46</f>
        <v/>
      </c>
      <c r="O62" s="89" t="str">
        <f>PLGK!BJ46</f>
        <v/>
      </c>
      <c r="P62" s="89" t="str">
        <f>PLGK!BS46</f>
        <v/>
      </c>
      <c r="Q62" s="89" t="str">
        <f>PLGK!CB46</f>
        <v/>
      </c>
      <c r="R62" s="89" t="str">
        <f>PLGK!CK46</f>
        <v/>
      </c>
      <c r="S62" s="89" t="str">
        <f>PLGK!CT46</f>
        <v/>
      </c>
      <c r="T62" s="226" t="str">
        <f>PLGK!DC46</f>
        <v/>
      </c>
      <c r="U62" s="218"/>
      <c r="V62" s="52"/>
      <c r="W62" s="97"/>
      <c r="X62" s="92"/>
      <c r="Y62" s="92"/>
      <c r="Z62" s="92"/>
      <c r="AA62" s="92"/>
    </row>
    <row r="63" ht="15.75" hidden="1" customHeight="1">
      <c r="B63" s="227"/>
      <c r="C63" s="228"/>
      <c r="D63" s="229"/>
      <c r="E63" s="229"/>
      <c r="F63" s="229"/>
      <c r="G63" s="229"/>
      <c r="H63" s="225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226"/>
      <c r="U63" s="216"/>
      <c r="V63" s="52"/>
      <c r="X63" s="92"/>
      <c r="Y63" s="92"/>
      <c r="Z63" s="92"/>
      <c r="AA63" s="92"/>
    </row>
    <row r="64" ht="15.75" hidden="1" customHeight="1">
      <c r="B64" s="227"/>
      <c r="C64" s="228"/>
      <c r="D64" s="229"/>
      <c r="E64" s="229"/>
      <c r="F64" s="229"/>
      <c r="G64" s="229"/>
      <c r="H64" s="225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226"/>
      <c r="U64" s="216"/>
      <c r="V64" s="52"/>
      <c r="X64" s="92"/>
      <c r="Y64" s="92"/>
      <c r="Z64" s="92"/>
      <c r="AA64" s="92"/>
    </row>
    <row r="65" ht="15.75" hidden="1" customHeight="1">
      <c r="B65" s="227"/>
      <c r="C65" s="228"/>
      <c r="D65" s="229"/>
      <c r="E65" s="229"/>
      <c r="F65" s="229"/>
      <c r="G65" s="229"/>
      <c r="H65" s="225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226"/>
      <c r="U65" s="216"/>
      <c r="V65" s="52"/>
      <c r="X65" s="92"/>
      <c r="Y65" s="92"/>
      <c r="Z65" s="92"/>
      <c r="AA65" s="92"/>
    </row>
    <row r="66" ht="15.75" customHeight="1">
      <c r="B66" s="235"/>
      <c r="C66" s="236"/>
      <c r="D66" s="237"/>
      <c r="E66" s="237"/>
      <c r="F66" s="237"/>
      <c r="G66" s="237"/>
      <c r="H66" s="238"/>
      <c r="I66" s="91"/>
      <c r="J66" s="158"/>
      <c r="K66" s="158"/>
      <c r="L66" s="158"/>
      <c r="M66" s="91"/>
      <c r="N66" s="91"/>
      <c r="O66" s="158"/>
      <c r="P66" s="158"/>
      <c r="Q66" s="158"/>
      <c r="R66" s="158"/>
      <c r="S66" s="158"/>
      <c r="T66" s="239"/>
      <c r="U66" s="215"/>
      <c r="V66" s="52">
        <v>0.0</v>
      </c>
      <c r="X66" s="92"/>
      <c r="Y66" s="92"/>
      <c r="Z66" s="92"/>
      <c r="AA66" s="92"/>
    </row>
    <row r="67" ht="15.75" customHeight="1">
      <c r="B67" s="240"/>
      <c r="C67" s="241" t="s">
        <v>162</v>
      </c>
      <c r="D67" s="242"/>
      <c r="E67" s="242"/>
      <c r="F67" s="242"/>
      <c r="G67" s="243"/>
      <c r="H67" s="244" t="str">
        <f t="shared" ref="H67:T67" si="2">SUM(H9:H66)</f>
        <v>#ERROR!</v>
      </c>
      <c r="I67" s="244" t="str">
        <f t="shared" si="2"/>
        <v>#ERROR!</v>
      </c>
      <c r="J67" s="244" t="str">
        <f t="shared" si="2"/>
        <v>#ERROR!</v>
      </c>
      <c r="K67" s="244" t="str">
        <f t="shared" si="2"/>
        <v>#ERROR!</v>
      </c>
      <c r="L67" s="244" t="str">
        <f t="shared" si="2"/>
        <v>#ERROR!</v>
      </c>
      <c r="M67" s="244" t="str">
        <f t="shared" si="2"/>
        <v>#ERROR!</v>
      </c>
      <c r="N67" s="244" t="str">
        <f t="shared" si="2"/>
        <v>#ERROR!</v>
      </c>
      <c r="O67" s="244" t="str">
        <f t="shared" si="2"/>
        <v>#ERROR!</v>
      </c>
      <c r="P67" s="244" t="str">
        <f t="shared" si="2"/>
        <v>#ERROR!</v>
      </c>
      <c r="Q67" s="244" t="str">
        <f t="shared" si="2"/>
        <v>#ERROR!</v>
      </c>
      <c r="R67" s="244" t="str">
        <f t="shared" si="2"/>
        <v>#ERROR!</v>
      </c>
      <c r="S67" s="244" t="str">
        <f t="shared" si="2"/>
        <v>#ERROR!</v>
      </c>
      <c r="T67" s="244" t="str">
        <f t="shared" si="2"/>
        <v>#ERROR!</v>
      </c>
      <c r="U67" s="216"/>
      <c r="Y67" s="92"/>
      <c r="Z67" s="92"/>
      <c r="AA67" s="92"/>
    </row>
    <row r="68" ht="15.75" customHeight="1">
      <c r="B68" s="245"/>
      <c r="C68" s="103" t="s">
        <v>163</v>
      </c>
      <c r="D68" s="103"/>
      <c r="E68" s="103"/>
      <c r="F68" s="103"/>
      <c r="G68" s="104"/>
      <c r="H68" s="246"/>
      <c r="I68" s="189" t="str">
        <f>I67</f>
        <v>#ERROR!</v>
      </c>
      <c r="J68" s="189" t="str">
        <f t="shared" ref="J68:T68" si="3">I68+J67</f>
        <v>#ERROR!</v>
      </c>
      <c r="K68" s="189" t="str">
        <f t="shared" si="3"/>
        <v>#ERROR!</v>
      </c>
      <c r="L68" s="189" t="str">
        <f t="shared" si="3"/>
        <v>#ERROR!</v>
      </c>
      <c r="M68" s="189" t="str">
        <f t="shared" si="3"/>
        <v>#ERROR!</v>
      </c>
      <c r="N68" s="189" t="str">
        <f t="shared" si="3"/>
        <v>#ERROR!</v>
      </c>
      <c r="O68" s="189" t="str">
        <f t="shared" si="3"/>
        <v>#ERROR!</v>
      </c>
      <c r="P68" s="189" t="str">
        <f t="shared" si="3"/>
        <v>#ERROR!</v>
      </c>
      <c r="Q68" s="189" t="str">
        <f t="shared" si="3"/>
        <v>#ERROR!</v>
      </c>
      <c r="R68" s="189" t="str">
        <f t="shared" si="3"/>
        <v>#ERROR!</v>
      </c>
      <c r="S68" s="189" t="str">
        <f t="shared" si="3"/>
        <v>#ERROR!</v>
      </c>
      <c r="T68" s="247" t="str">
        <f t="shared" si="3"/>
        <v>#ERROR!</v>
      </c>
    </row>
    <row r="69" ht="15.75" customHeight="1">
      <c r="B69" s="245"/>
      <c r="C69" s="248" t="s">
        <v>164</v>
      </c>
      <c r="D69" s="103"/>
      <c r="E69" s="103"/>
      <c r="F69" s="103"/>
      <c r="G69" s="104"/>
      <c r="H69" s="246"/>
      <c r="I69" s="189"/>
      <c r="J69" s="189"/>
      <c r="K69" s="189" t="str">
        <f>J68+K67</f>
        <v>#ERROR!</v>
      </c>
      <c r="L69" s="189"/>
      <c r="M69" s="189"/>
      <c r="N69" s="189" t="str">
        <f>SUM(L67:N67)</f>
        <v>#ERROR!</v>
      </c>
      <c r="O69" s="189"/>
      <c r="P69" s="189"/>
      <c r="Q69" s="189" t="str">
        <f>SUM(O67:Q67)</f>
        <v>#ERROR!</v>
      </c>
      <c r="R69" s="189"/>
      <c r="S69" s="189"/>
      <c r="T69" s="247" t="str">
        <f>SUM(R67:T67)</f>
        <v>#ERROR!</v>
      </c>
    </row>
    <row r="70" ht="15.75" customHeight="1">
      <c r="B70" s="245"/>
      <c r="C70" s="248" t="s">
        <v>165</v>
      </c>
      <c r="D70" s="103"/>
      <c r="E70" s="103"/>
      <c r="F70" s="103"/>
      <c r="G70" s="104"/>
      <c r="H70" s="103"/>
      <c r="I70" s="188" t="str">
        <f t="shared" ref="I70:T70" si="4">I67/$H$67*100</f>
        <v>#ERROR!</v>
      </c>
      <c r="J70" s="188" t="str">
        <f t="shared" si="4"/>
        <v>#ERROR!</v>
      </c>
      <c r="K70" s="188" t="str">
        <f t="shared" si="4"/>
        <v>#ERROR!</v>
      </c>
      <c r="L70" s="188" t="str">
        <f t="shared" si="4"/>
        <v>#ERROR!</v>
      </c>
      <c r="M70" s="188" t="str">
        <f t="shared" si="4"/>
        <v>#ERROR!</v>
      </c>
      <c r="N70" s="188" t="str">
        <f t="shared" si="4"/>
        <v>#ERROR!</v>
      </c>
      <c r="O70" s="188" t="str">
        <f t="shared" si="4"/>
        <v>#ERROR!</v>
      </c>
      <c r="P70" s="188" t="str">
        <f t="shared" si="4"/>
        <v>#ERROR!</v>
      </c>
      <c r="Q70" s="188" t="str">
        <f t="shared" si="4"/>
        <v>#ERROR!</v>
      </c>
      <c r="R70" s="188" t="str">
        <f t="shared" si="4"/>
        <v>#ERROR!</v>
      </c>
      <c r="S70" s="188" t="str">
        <f t="shared" si="4"/>
        <v>#ERROR!</v>
      </c>
      <c r="T70" s="249" t="str">
        <f t="shared" si="4"/>
        <v>#ERROR!</v>
      </c>
    </row>
    <row r="71" ht="15.75" customHeight="1">
      <c r="B71" s="250"/>
      <c r="C71" s="237" t="s">
        <v>166</v>
      </c>
      <c r="D71" s="124"/>
      <c r="E71" s="124"/>
      <c r="F71" s="124"/>
      <c r="G71" s="251"/>
      <c r="H71" s="252">
        <v>0.0</v>
      </c>
      <c r="I71" s="253" t="str">
        <f>I70</f>
        <v>#ERROR!</v>
      </c>
      <c r="J71" s="253" t="str">
        <f t="shared" ref="J71:T71" si="5">I71+J70</f>
        <v>#ERROR!</v>
      </c>
      <c r="K71" s="253" t="str">
        <f t="shared" si="5"/>
        <v>#ERROR!</v>
      </c>
      <c r="L71" s="253" t="str">
        <f t="shared" si="5"/>
        <v>#ERROR!</v>
      </c>
      <c r="M71" s="253" t="str">
        <f t="shared" si="5"/>
        <v>#ERROR!</v>
      </c>
      <c r="N71" s="253" t="str">
        <f t="shared" si="5"/>
        <v>#ERROR!</v>
      </c>
      <c r="O71" s="253" t="str">
        <f t="shared" si="5"/>
        <v>#ERROR!</v>
      </c>
      <c r="P71" s="253" t="str">
        <f t="shared" si="5"/>
        <v>#ERROR!</v>
      </c>
      <c r="Q71" s="253" t="str">
        <f t="shared" si="5"/>
        <v>#ERROR!</v>
      </c>
      <c r="R71" s="253" t="str">
        <f t="shared" si="5"/>
        <v>#ERROR!</v>
      </c>
      <c r="S71" s="253" t="str">
        <f t="shared" si="5"/>
        <v>#ERROR!</v>
      </c>
      <c r="T71" s="254" t="str">
        <f t="shared" si="5"/>
        <v>#ERROR!</v>
      </c>
    </row>
    <row r="72" ht="15.75" customHeight="1">
      <c r="B72" s="255" t="s">
        <v>167</v>
      </c>
      <c r="C72" s="255"/>
      <c r="D72" s="255"/>
    </row>
    <row r="73" ht="15.75" customHeight="1"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 t="s">
        <v>114</v>
      </c>
      <c r="Q73" s="256"/>
      <c r="R73" s="256"/>
      <c r="S73" s="256"/>
    </row>
    <row r="74" ht="15.75" customHeight="1">
      <c r="E74" s="256" t="s">
        <v>168</v>
      </c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 t="s">
        <v>169</v>
      </c>
      <c r="Q74" s="256"/>
      <c r="R74" s="256"/>
      <c r="S74" s="256"/>
    </row>
    <row r="75" ht="15.75" customHeight="1">
      <c r="E75" s="256" t="s">
        <v>170</v>
      </c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7"/>
      <c r="Q75" s="256"/>
      <c r="R75" s="256"/>
      <c r="S75" s="256"/>
    </row>
    <row r="76" ht="15.75" customHeight="1">
      <c r="E76" s="256" t="s">
        <v>171</v>
      </c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7"/>
      <c r="Q76" s="256"/>
      <c r="R76" s="256"/>
      <c r="S76" s="256"/>
    </row>
    <row r="77" ht="15.75" customHeight="1">
      <c r="E77" s="8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7"/>
      <c r="Q77" s="256"/>
      <c r="R77" s="256"/>
      <c r="S77" s="256"/>
    </row>
    <row r="78" ht="15.75" customHeight="1">
      <c r="E78" s="8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</row>
    <row r="79" ht="15.75" customHeight="1">
      <c r="E79" s="8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</row>
    <row r="80" ht="15.75" customHeight="1">
      <c r="E80" s="258" t="s">
        <v>123</v>
      </c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8"/>
      <c r="Q80" s="256"/>
      <c r="R80" s="256"/>
      <c r="S80" s="256"/>
    </row>
    <row r="81" ht="15.75" customHeight="1">
      <c r="E81" s="259" t="s">
        <v>124</v>
      </c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</row>
    <row r="82" ht="15.75" customHeight="1">
      <c r="E82" s="256" t="s">
        <v>125</v>
      </c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</row>
    <row r="83" ht="15.75" customHeight="1"/>
    <row r="84" ht="15.75" customHeight="1"/>
    <row r="85" ht="15.75" customHeight="1"/>
    <row r="86" ht="15.75" customHeight="1"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V2"/>
    <mergeCell ref="B3:V3"/>
    <mergeCell ref="B5:B6"/>
    <mergeCell ref="C5:G6"/>
    <mergeCell ref="H5:H6"/>
    <mergeCell ref="I5:T5"/>
    <mergeCell ref="C7:G7"/>
    <mergeCell ref="C21:G25"/>
    <mergeCell ref="V59:V61"/>
    <mergeCell ref="V66:V67"/>
    <mergeCell ref="V7:V8"/>
    <mergeCell ref="Z7:AA7"/>
    <mergeCell ref="V13:V14"/>
    <mergeCell ref="V15:V16"/>
    <mergeCell ref="V25:V29"/>
    <mergeCell ref="V44:V47"/>
    <mergeCell ref="V55:V56"/>
  </mergeCells>
  <printOptions horizontalCentered="1"/>
  <pageMargins bottom="0.75" footer="0.0" header="0.0" left="0.9" right="0.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60"/>
      <c r="B1" s="261" t="s">
        <v>172</v>
      </c>
      <c r="U1" s="260"/>
      <c r="V1" s="8"/>
      <c r="W1" s="8"/>
      <c r="X1" s="8"/>
      <c r="Y1" s="8"/>
      <c r="Z1" s="8"/>
    </row>
    <row r="2">
      <c r="A2" s="260"/>
      <c r="B2" s="262" t="s">
        <v>173</v>
      </c>
      <c r="U2" s="260"/>
      <c r="V2" s="8"/>
      <c r="W2" s="8"/>
      <c r="X2" s="8"/>
      <c r="Y2" s="8"/>
      <c r="Z2" s="8"/>
    </row>
    <row r="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8"/>
      <c r="W3" s="8"/>
      <c r="X3" s="8"/>
      <c r="Y3" s="8"/>
      <c r="Z3" s="8"/>
    </row>
    <row r="4">
      <c r="A4" s="260"/>
      <c r="B4" s="260" t="s">
        <v>174</v>
      </c>
      <c r="C4" s="260"/>
      <c r="D4" s="260" t="s">
        <v>6</v>
      </c>
      <c r="E4" s="260"/>
      <c r="F4" s="260"/>
      <c r="G4" s="260"/>
      <c r="H4" s="260"/>
      <c r="I4" s="260"/>
      <c r="J4" s="260"/>
      <c r="K4" s="260"/>
      <c r="L4" s="260"/>
      <c r="M4" s="260" t="s">
        <v>175</v>
      </c>
      <c r="N4" s="260"/>
      <c r="O4" s="260"/>
      <c r="P4" s="260"/>
      <c r="Q4" s="260"/>
      <c r="R4" s="260"/>
      <c r="S4" s="260"/>
      <c r="T4" s="260"/>
      <c r="U4" s="260"/>
      <c r="V4" s="8"/>
      <c r="W4" s="8"/>
      <c r="X4" s="8"/>
      <c r="Y4" s="8"/>
      <c r="Z4" s="8"/>
    </row>
    <row r="5">
      <c r="A5" s="260"/>
      <c r="B5" s="260" t="s">
        <v>176</v>
      </c>
      <c r="C5" s="260"/>
      <c r="D5" s="260" t="s">
        <v>6</v>
      </c>
      <c r="E5" s="260"/>
      <c r="F5" s="260"/>
      <c r="G5" s="260"/>
      <c r="H5" s="260"/>
      <c r="I5" s="260"/>
      <c r="J5" s="260"/>
      <c r="K5" s="260"/>
      <c r="L5" s="260"/>
      <c r="M5" s="260" t="s">
        <v>177</v>
      </c>
      <c r="N5" s="260"/>
      <c r="O5" s="260"/>
      <c r="P5" s="260"/>
      <c r="Q5" s="260"/>
      <c r="R5" s="260"/>
      <c r="S5" s="260"/>
      <c r="T5" s="260"/>
      <c r="U5" s="260"/>
      <c r="V5" s="8"/>
      <c r="W5" s="8"/>
      <c r="X5" s="8"/>
      <c r="Y5" s="8"/>
      <c r="Z5" s="8"/>
    </row>
    <row r="6">
      <c r="A6" s="260"/>
      <c r="B6" s="260" t="s">
        <v>178</v>
      </c>
      <c r="C6" s="260"/>
      <c r="D6" s="260" t="s">
        <v>6</v>
      </c>
      <c r="E6" s="260"/>
      <c r="F6" s="260"/>
      <c r="G6" s="260"/>
      <c r="H6" s="260"/>
      <c r="I6" s="260"/>
      <c r="J6" s="260"/>
      <c r="K6" s="260"/>
      <c r="L6" s="260"/>
      <c r="M6" s="260" t="s">
        <v>179</v>
      </c>
      <c r="N6" s="260"/>
      <c r="O6" s="260"/>
      <c r="P6" s="260"/>
      <c r="Q6" s="260"/>
      <c r="R6" s="260"/>
      <c r="S6" s="260"/>
      <c r="T6" s="260"/>
      <c r="U6" s="260"/>
      <c r="V6" s="8"/>
      <c r="W6" s="8"/>
      <c r="X6" s="8"/>
      <c r="Y6" s="8"/>
      <c r="Z6" s="8"/>
    </row>
    <row r="7">
      <c r="A7" s="260"/>
      <c r="B7" s="260" t="s">
        <v>180</v>
      </c>
      <c r="C7" s="260"/>
      <c r="D7" s="260" t="s">
        <v>6</v>
      </c>
      <c r="E7" s="260"/>
      <c r="F7" s="260"/>
      <c r="G7" s="260"/>
      <c r="H7" s="260"/>
      <c r="I7" s="260"/>
      <c r="J7" s="260"/>
      <c r="K7" s="260"/>
      <c r="L7" s="260"/>
      <c r="M7" s="8"/>
      <c r="N7" s="260"/>
      <c r="O7" s="260"/>
      <c r="P7" s="260"/>
      <c r="Q7" s="260"/>
      <c r="R7" s="260"/>
      <c r="S7" s="263"/>
      <c r="U7" s="260"/>
      <c r="V7" s="8"/>
      <c r="W7" s="8"/>
      <c r="X7" s="8"/>
      <c r="Y7" s="8"/>
      <c r="Z7" s="8"/>
    </row>
    <row r="8">
      <c r="A8" s="260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4"/>
      <c r="U8" s="260"/>
      <c r="V8" s="8"/>
      <c r="W8" s="8"/>
      <c r="X8" s="8"/>
      <c r="Y8" s="8"/>
      <c r="Z8" s="8"/>
    </row>
    <row r="9">
      <c r="A9" s="260"/>
      <c r="B9" s="265" t="s">
        <v>181</v>
      </c>
      <c r="C9" s="266" t="s">
        <v>182</v>
      </c>
      <c r="D9" s="5"/>
      <c r="E9" s="23"/>
      <c r="F9" s="267" t="s">
        <v>183</v>
      </c>
      <c r="G9" s="37"/>
      <c r="H9" s="37"/>
      <c r="I9" s="37"/>
      <c r="J9" s="37"/>
      <c r="K9" s="38"/>
      <c r="L9" s="267" t="s">
        <v>184</v>
      </c>
      <c r="M9" s="37"/>
      <c r="N9" s="37"/>
      <c r="O9" s="37"/>
      <c r="P9" s="37"/>
      <c r="Q9" s="37"/>
      <c r="R9" s="37"/>
      <c r="S9" s="38"/>
      <c r="T9" s="265" t="s">
        <v>185</v>
      </c>
      <c r="U9" s="260"/>
      <c r="V9" s="8"/>
      <c r="W9" s="8"/>
      <c r="X9" s="8"/>
      <c r="Y9" s="8"/>
      <c r="Z9" s="8"/>
    </row>
    <row r="10">
      <c r="A10" s="260"/>
      <c r="B10" s="12"/>
      <c r="C10" s="135"/>
      <c r="E10" s="109"/>
      <c r="F10" s="268" t="s">
        <v>186</v>
      </c>
      <c r="G10" s="268" t="s">
        <v>187</v>
      </c>
      <c r="H10" s="268" t="s">
        <v>188</v>
      </c>
      <c r="I10" s="269" t="s">
        <v>189</v>
      </c>
      <c r="J10" s="23"/>
      <c r="K10" s="268" t="s">
        <v>190</v>
      </c>
      <c r="L10" s="265" t="s">
        <v>191</v>
      </c>
      <c r="M10" s="265" t="s">
        <v>192</v>
      </c>
      <c r="N10" s="267" t="s">
        <v>193</v>
      </c>
      <c r="O10" s="37"/>
      <c r="P10" s="37"/>
      <c r="Q10" s="37"/>
      <c r="R10" s="37"/>
      <c r="S10" s="38"/>
      <c r="T10" s="12"/>
      <c r="U10" s="270"/>
      <c r="V10" s="8"/>
      <c r="W10" s="8"/>
      <c r="X10" s="8"/>
      <c r="Y10" s="8"/>
      <c r="Z10" s="8"/>
    </row>
    <row r="11">
      <c r="A11" s="260"/>
      <c r="B11" s="12"/>
      <c r="C11" s="135"/>
      <c r="E11" s="109"/>
      <c r="F11" s="12"/>
      <c r="G11" s="12"/>
      <c r="H11" s="12"/>
      <c r="I11" s="135"/>
      <c r="J11" s="109"/>
      <c r="K11" s="12"/>
      <c r="L11" s="12"/>
      <c r="M11" s="12"/>
      <c r="N11" s="267" t="s">
        <v>194</v>
      </c>
      <c r="O11" s="37"/>
      <c r="P11" s="38"/>
      <c r="Q11" s="267" t="s">
        <v>195</v>
      </c>
      <c r="R11" s="37"/>
      <c r="S11" s="38"/>
      <c r="T11" s="12"/>
      <c r="U11" s="270"/>
      <c r="V11" s="8"/>
      <c r="W11" s="8"/>
      <c r="X11" s="8"/>
      <c r="Y11" s="8"/>
      <c r="Z11" s="8"/>
    </row>
    <row r="12">
      <c r="A12" s="260"/>
      <c r="B12" s="18"/>
      <c r="C12" s="49"/>
      <c r="D12" s="11"/>
      <c r="E12" s="50"/>
      <c r="F12" s="18"/>
      <c r="G12" s="18"/>
      <c r="H12" s="18"/>
      <c r="I12" s="49"/>
      <c r="J12" s="50"/>
      <c r="K12" s="18"/>
      <c r="L12" s="18"/>
      <c r="M12" s="18"/>
      <c r="N12" s="271" t="s">
        <v>196</v>
      </c>
      <c r="O12" s="271" t="s">
        <v>197</v>
      </c>
      <c r="P12" s="271" t="s">
        <v>198</v>
      </c>
      <c r="Q12" s="271" t="s">
        <v>196</v>
      </c>
      <c r="R12" s="271" t="s">
        <v>199</v>
      </c>
      <c r="S12" s="271" t="s">
        <v>200</v>
      </c>
      <c r="T12" s="18"/>
      <c r="U12" s="260"/>
      <c r="V12" s="8"/>
      <c r="W12" s="8"/>
      <c r="X12" s="8"/>
      <c r="Y12" s="8"/>
      <c r="Z12" s="8"/>
    </row>
    <row r="13">
      <c r="A13" s="260"/>
      <c r="B13" s="272" t="s">
        <v>201</v>
      </c>
      <c r="C13" s="273" t="s">
        <v>202</v>
      </c>
      <c r="D13" s="37"/>
      <c r="E13" s="38"/>
      <c r="F13" s="272" t="s">
        <v>203</v>
      </c>
      <c r="G13" s="272" t="s">
        <v>204</v>
      </c>
      <c r="H13" s="272" t="s">
        <v>205</v>
      </c>
      <c r="I13" s="273" t="s">
        <v>206</v>
      </c>
      <c r="J13" s="38"/>
      <c r="K13" s="272" t="s">
        <v>207</v>
      </c>
      <c r="L13" s="272" t="s">
        <v>208</v>
      </c>
      <c r="M13" s="272" t="s">
        <v>209</v>
      </c>
      <c r="N13" s="272" t="s">
        <v>210</v>
      </c>
      <c r="O13" s="272" t="s">
        <v>211</v>
      </c>
      <c r="P13" s="272" t="s">
        <v>212</v>
      </c>
      <c r="Q13" s="272" t="s">
        <v>213</v>
      </c>
      <c r="R13" s="272" t="s">
        <v>214</v>
      </c>
      <c r="S13" s="272" t="s">
        <v>215</v>
      </c>
      <c r="T13" s="272" t="s">
        <v>216</v>
      </c>
      <c r="U13" s="260"/>
      <c r="V13" s="8"/>
      <c r="W13" s="8"/>
      <c r="X13" s="8"/>
      <c r="Y13" s="8"/>
      <c r="Z13" s="8"/>
    </row>
    <row r="14">
      <c r="A14" s="274"/>
      <c r="B14" s="275">
        <f>DPA!B31</f>
        <v>5</v>
      </c>
      <c r="C14" s="275" t="str">
        <f>DPA!C31</f>
        <v>BELANJA DAERAH</v>
      </c>
      <c r="D14" s="275"/>
      <c r="E14" s="275"/>
      <c r="F14" s="275"/>
      <c r="G14" s="275"/>
      <c r="H14" s="275"/>
      <c r="I14" s="275"/>
      <c r="J14" s="275"/>
      <c r="K14" s="276">
        <f>DPA!S31</f>
        <v>94371800</v>
      </c>
      <c r="L14" s="277"/>
      <c r="M14" s="277">
        <f t="shared" ref="M14:M15" si="1">K14</f>
        <v>94371800</v>
      </c>
      <c r="N14" s="278"/>
      <c r="O14" s="278"/>
      <c r="P14" s="278"/>
      <c r="Q14" s="278"/>
      <c r="R14" s="277"/>
      <c r="S14" s="277"/>
      <c r="T14" s="277"/>
      <c r="U14" s="279"/>
      <c r="V14" s="72"/>
      <c r="W14" s="72"/>
      <c r="X14" s="72"/>
      <c r="Y14" s="72"/>
      <c r="Z14" s="72"/>
    </row>
    <row r="15">
      <c r="A15" s="274"/>
      <c r="B15" s="275" t="str">
        <f>DPA!B32</f>
        <v>5.1</v>
      </c>
      <c r="C15" s="275" t="str">
        <f>DPA!C32</f>
        <v>BELANJA OPERASI</v>
      </c>
      <c r="D15" s="275"/>
      <c r="E15" s="275"/>
      <c r="F15" s="277"/>
      <c r="G15" s="280"/>
      <c r="H15" s="280"/>
      <c r="I15" s="280"/>
      <c r="J15" s="280"/>
      <c r="K15" s="276">
        <f>DPA!S32</f>
        <v>32999400</v>
      </c>
      <c r="L15" s="277"/>
      <c r="M15" s="277">
        <f t="shared" si="1"/>
        <v>32999400</v>
      </c>
      <c r="N15" s="278"/>
      <c r="O15" s="278"/>
      <c r="P15" s="278"/>
      <c r="Q15" s="278"/>
      <c r="R15" s="277"/>
      <c r="S15" s="277"/>
      <c r="T15" s="277"/>
      <c r="U15" s="279"/>
      <c r="V15" s="72"/>
      <c r="W15" s="72"/>
      <c r="X15" s="72"/>
      <c r="Y15" s="72"/>
      <c r="Z15" s="72"/>
    </row>
    <row r="16">
      <c r="A16" s="274"/>
      <c r="B16" s="275"/>
      <c r="C16" s="275"/>
      <c r="D16" s="275"/>
      <c r="E16" s="275"/>
      <c r="F16" s="277"/>
      <c r="G16" s="280"/>
      <c r="H16" s="280"/>
      <c r="I16" s="280"/>
      <c r="J16" s="280"/>
      <c r="K16" s="276"/>
      <c r="L16" s="277"/>
      <c r="M16" s="277"/>
      <c r="N16" s="278"/>
      <c r="O16" s="278"/>
      <c r="P16" s="278"/>
      <c r="Q16" s="278"/>
      <c r="R16" s="277"/>
      <c r="S16" s="277"/>
      <c r="T16" s="277"/>
      <c r="U16" s="279"/>
      <c r="V16" s="72"/>
      <c r="W16" s="72"/>
      <c r="X16" s="72"/>
      <c r="Y16" s="72"/>
      <c r="Z16" s="72"/>
    </row>
    <row r="17">
      <c r="A17" s="274"/>
      <c r="B17" s="275" t="str">
        <f>DPA!B34</f>
        <v> 5.2.2.</v>
      </c>
      <c r="C17" s="275" t="str">
        <f>DPA!C34</f>
        <v> Belanja Barang dan Jasa</v>
      </c>
      <c r="D17" s="275"/>
      <c r="E17" s="275"/>
      <c r="F17" s="277"/>
      <c r="G17" s="280"/>
      <c r="H17" s="280"/>
      <c r="I17" s="280"/>
      <c r="J17" s="280"/>
      <c r="K17" s="276">
        <f>DPA!S34</f>
        <v>32999400</v>
      </c>
      <c r="L17" s="277"/>
      <c r="M17" s="277">
        <f>K17</f>
        <v>32999400</v>
      </c>
      <c r="N17" s="278"/>
      <c r="O17" s="278"/>
      <c r="P17" s="278"/>
      <c r="Q17" s="278"/>
      <c r="R17" s="185"/>
      <c r="S17" s="185"/>
      <c r="T17" s="277"/>
      <c r="U17" s="279"/>
      <c r="V17" s="72"/>
      <c r="W17" s="72"/>
      <c r="X17" s="72"/>
      <c r="Y17" s="72"/>
      <c r="Z17" s="72"/>
    </row>
    <row r="18">
      <c r="A18" s="274"/>
      <c r="B18" s="275"/>
      <c r="C18" s="275"/>
      <c r="D18" s="275"/>
      <c r="E18" s="275"/>
      <c r="F18" s="277"/>
      <c r="G18" s="280"/>
      <c r="H18" s="280"/>
      <c r="I18" s="280"/>
      <c r="J18" s="280"/>
      <c r="K18" s="276"/>
      <c r="L18" s="277"/>
      <c r="M18" s="277"/>
      <c r="N18" s="278"/>
      <c r="O18" s="278"/>
      <c r="P18" s="278"/>
      <c r="Q18" s="278"/>
      <c r="R18" s="277"/>
      <c r="S18" s="278"/>
      <c r="T18" s="277"/>
      <c r="U18" s="279"/>
      <c r="V18" s="72"/>
      <c r="W18" s="72"/>
      <c r="X18" s="72"/>
      <c r="Y18" s="72"/>
      <c r="Z18" s="72"/>
    </row>
    <row r="19">
      <c r="A19" s="274"/>
      <c r="B19" s="275" t="str">
        <f>DPA!B36</f>
        <v> 5.2.2.01</v>
      </c>
      <c r="C19" s="275" t="str">
        <f>DPA!C36</f>
        <v>Belanja Bahan Pakai Habis</v>
      </c>
      <c r="D19" s="275"/>
      <c r="E19" s="275"/>
      <c r="F19" s="277"/>
      <c r="G19" s="280"/>
      <c r="H19" s="280"/>
      <c r="I19" s="280"/>
      <c r="J19" s="280"/>
      <c r="K19" s="276">
        <f>DPA!S36</f>
        <v>1791400</v>
      </c>
      <c r="L19" s="277"/>
      <c r="M19" s="277">
        <f>K19</f>
        <v>1791400</v>
      </c>
      <c r="N19" s="278"/>
      <c r="O19" s="278"/>
      <c r="P19" s="278"/>
      <c r="Q19" s="278"/>
      <c r="R19" s="277"/>
      <c r="S19" s="278"/>
      <c r="T19" s="277"/>
      <c r="U19" s="279"/>
      <c r="V19" s="72"/>
      <c r="W19" s="72"/>
      <c r="X19" s="72"/>
      <c r="Y19" s="72"/>
      <c r="Z19" s="72"/>
    </row>
    <row r="20">
      <c r="A20" s="260"/>
      <c r="B20" s="275"/>
      <c r="C20" s="275"/>
      <c r="D20" s="275"/>
      <c r="E20" s="275"/>
      <c r="F20" s="281"/>
      <c r="G20" s="282"/>
      <c r="H20" s="282"/>
      <c r="I20" s="282"/>
      <c r="J20" s="282"/>
      <c r="K20" s="276"/>
      <c r="L20" s="281"/>
      <c r="M20" s="277"/>
      <c r="N20" s="283"/>
      <c r="O20" s="283"/>
      <c r="P20" s="278"/>
      <c r="Q20" s="283"/>
      <c r="R20" s="277"/>
      <c r="S20" s="278"/>
      <c r="T20" s="277"/>
      <c r="U20" s="270"/>
      <c r="V20" s="8"/>
      <c r="W20" s="8"/>
      <c r="X20" s="8"/>
      <c r="Y20" s="8"/>
      <c r="Z20" s="8"/>
    </row>
    <row r="21" ht="15.75" customHeight="1">
      <c r="A21" s="260"/>
      <c r="B21" s="275" t="str">
        <f>DPA!B38</f>
        <v>5.1.02.01.01.0024</v>
      </c>
      <c r="C21" s="275" t="str">
        <f>DPA!C38</f>
        <v>Belanja Alat/Bahan untuk Kegiatan Kantor-Alat Tulis Kantor</v>
      </c>
      <c r="D21" s="275"/>
      <c r="E21" s="275"/>
      <c r="F21" s="281"/>
      <c r="G21" s="282"/>
      <c r="H21" s="282"/>
      <c r="I21" s="282"/>
      <c r="J21" s="282"/>
      <c r="K21" s="276">
        <f>DPA!S38</f>
        <v>656000</v>
      </c>
      <c r="L21" s="277"/>
      <c r="M21" s="277">
        <f t="shared" ref="M21:M28" si="2">K21</f>
        <v>656000</v>
      </c>
      <c r="N21" s="278"/>
      <c r="O21" s="278"/>
      <c r="P21" s="278"/>
      <c r="Q21" s="278"/>
      <c r="R21" s="277"/>
      <c r="S21" s="278"/>
      <c r="T21" s="277"/>
      <c r="U21" s="270"/>
      <c r="V21" s="8"/>
      <c r="W21" s="8"/>
      <c r="X21" s="8"/>
      <c r="Y21" s="8"/>
      <c r="Z21" s="8"/>
    </row>
    <row r="22" ht="15.75" customHeight="1">
      <c r="A22" s="260"/>
      <c r="B22" s="275"/>
      <c r="C22" s="275"/>
      <c r="D22" s="284" t="str">
        <f>DPA!D39</f>
        <v>-</v>
      </c>
      <c r="E22" s="285" t="str">
        <f>DPA!E39</f>
        <v>Alat Tulis Kantor
Spesifikasi : Stof Map Folio</v>
      </c>
      <c r="F22" s="281"/>
      <c r="G22" s="282"/>
      <c r="H22" s="282"/>
      <c r="I22" s="282"/>
      <c r="J22" s="282"/>
      <c r="K22" s="276">
        <f>DPA!S39</f>
        <v>330000</v>
      </c>
      <c r="L22" s="277"/>
      <c r="M22" s="277">
        <f t="shared" si="2"/>
        <v>330000</v>
      </c>
      <c r="N22" s="278"/>
      <c r="O22" s="278"/>
      <c r="P22" s="278"/>
      <c r="Q22" s="278"/>
      <c r="R22" s="277"/>
      <c r="S22" s="278"/>
      <c r="T22" s="277"/>
      <c r="U22" s="270"/>
      <c r="V22" s="8"/>
      <c r="W22" s="8"/>
      <c r="X22" s="8"/>
      <c r="Y22" s="8"/>
      <c r="Z22" s="8"/>
    </row>
    <row r="23" ht="15.75" customHeight="1">
      <c r="A23" s="260"/>
      <c r="B23" s="275"/>
      <c r="C23" s="275"/>
      <c r="D23" s="284" t="str">
        <f>DPA!D40</f>
        <v>-</v>
      </c>
      <c r="E23" s="285" t="str">
        <f>DPA!E40</f>
        <v>Alat Tulis Kantor
Spesifikasi : Trigonal Clip No. 5 Atom</v>
      </c>
      <c r="F23" s="281"/>
      <c r="G23" s="282"/>
      <c r="H23" s="283"/>
      <c r="I23" s="282"/>
      <c r="J23" s="282"/>
      <c r="K23" s="276">
        <f>DPA!S40</f>
        <v>66000</v>
      </c>
      <c r="L23" s="281"/>
      <c r="M23" s="277">
        <f t="shared" si="2"/>
        <v>66000</v>
      </c>
      <c r="N23" s="283"/>
      <c r="O23" s="283"/>
      <c r="P23" s="283"/>
      <c r="Q23" s="283"/>
      <c r="R23" s="281"/>
      <c r="S23" s="283"/>
      <c r="T23" s="277"/>
      <c r="U23" s="270"/>
      <c r="V23" s="8"/>
      <c r="W23" s="8"/>
      <c r="X23" s="8"/>
      <c r="Y23" s="8"/>
      <c r="Z23" s="8"/>
    </row>
    <row r="24" ht="15.75" customHeight="1">
      <c r="A24" s="260"/>
      <c r="B24" s="275"/>
      <c r="C24" s="275"/>
      <c r="D24" s="284" t="str">
        <f>DPA!D41</f>
        <v>-</v>
      </c>
      <c r="E24" s="285" t="str">
        <f>DPA!E41</f>
        <v>Alat Tulis Kantor
Spesifikasi : Box File Jumbo Bantex</v>
      </c>
      <c r="F24" s="281"/>
      <c r="G24" s="272"/>
      <c r="H24" s="282"/>
      <c r="I24" s="282"/>
      <c r="J24" s="282"/>
      <c r="K24" s="276">
        <f>DPA!S41</f>
        <v>260000</v>
      </c>
      <c r="L24" s="281"/>
      <c r="M24" s="277">
        <f t="shared" si="2"/>
        <v>260000</v>
      </c>
      <c r="N24" s="283"/>
      <c r="O24" s="283"/>
      <c r="P24" s="283"/>
      <c r="Q24" s="283"/>
      <c r="R24" s="281"/>
      <c r="S24" s="283"/>
      <c r="T24" s="277"/>
      <c r="U24" s="260"/>
      <c r="V24" s="8"/>
      <c r="W24" s="8"/>
      <c r="X24" s="8"/>
      <c r="Y24" s="8"/>
      <c r="Z24" s="8"/>
    </row>
    <row r="25" ht="12.75" customHeight="1">
      <c r="A25" s="260"/>
      <c r="B25" s="275"/>
      <c r="C25" s="275"/>
      <c r="D25" s="275"/>
      <c r="E25" s="275"/>
      <c r="F25" s="281"/>
      <c r="G25" s="272"/>
      <c r="H25" s="282"/>
      <c r="I25" s="282"/>
      <c r="J25" s="282"/>
      <c r="K25" s="276" t="str">
        <f>DPA!S42</f>
        <v/>
      </c>
      <c r="L25" s="281"/>
      <c r="M25" s="277" t="str">
        <f t="shared" si="2"/>
        <v/>
      </c>
      <c r="N25" s="283"/>
      <c r="O25" s="283"/>
      <c r="P25" s="283"/>
      <c r="Q25" s="283"/>
      <c r="R25" s="281"/>
      <c r="S25" s="283"/>
      <c r="T25" s="277"/>
      <c r="U25" s="260"/>
      <c r="V25" s="8"/>
      <c r="W25" s="8"/>
      <c r="X25" s="8"/>
      <c r="Y25" s="8"/>
      <c r="Z25" s="8"/>
    </row>
    <row r="26" ht="15.75" customHeight="1">
      <c r="A26" s="260"/>
      <c r="B26" s="275" t="str">
        <f>DPA!B43</f>
        <v>5.1.02.01.01.0025</v>
      </c>
      <c r="C26" s="275" t="str">
        <f>DPA!C43</f>
        <v>Belanja Alat/Bahan untuk Kegiatan Kantor- Kertas dan Cover</v>
      </c>
      <c r="D26" s="275"/>
      <c r="E26" s="275"/>
      <c r="F26" s="281"/>
      <c r="G26" s="272"/>
      <c r="H26" s="282"/>
      <c r="I26" s="282"/>
      <c r="J26" s="282"/>
      <c r="K26" s="276">
        <f>DPA!S43</f>
        <v>441400</v>
      </c>
      <c r="L26" s="281"/>
      <c r="M26" s="277">
        <f t="shared" si="2"/>
        <v>441400</v>
      </c>
      <c r="N26" s="283"/>
      <c r="O26" s="283"/>
      <c r="P26" s="283"/>
      <c r="Q26" s="283"/>
      <c r="R26" s="281"/>
      <c r="S26" s="283"/>
      <c r="T26" s="277"/>
      <c r="U26" s="260"/>
      <c r="V26" s="8"/>
      <c r="W26" s="8"/>
      <c r="X26" s="8"/>
      <c r="Y26" s="8"/>
      <c r="Z26" s="8"/>
    </row>
    <row r="27" ht="15.75" customHeight="1">
      <c r="A27" s="260"/>
      <c r="B27" s="275"/>
      <c r="C27" s="275"/>
      <c r="D27" s="284" t="str">
        <f>DPA!D44</f>
        <v>-</v>
      </c>
      <c r="E27" s="285" t="str">
        <f>DPA!E44</f>
        <v>Kertas dan Cover
Spesifikasi : Kertas HVS A4 70 gr</v>
      </c>
      <c r="F27" s="281"/>
      <c r="G27" s="272"/>
      <c r="H27" s="282"/>
      <c r="I27" s="282"/>
      <c r="J27" s="282"/>
      <c r="K27" s="276">
        <f>DPA!S44</f>
        <v>164800</v>
      </c>
      <c r="L27" s="281"/>
      <c r="M27" s="277">
        <f t="shared" si="2"/>
        <v>164800</v>
      </c>
      <c r="N27" s="283"/>
      <c r="O27" s="283"/>
      <c r="P27" s="283"/>
      <c r="Q27" s="283"/>
      <c r="R27" s="281"/>
      <c r="S27" s="283"/>
      <c r="T27" s="277"/>
      <c r="U27" s="260"/>
      <c r="V27" s="8"/>
      <c r="W27" s="8"/>
      <c r="X27" s="8"/>
      <c r="Y27" s="8"/>
      <c r="Z27" s="8"/>
    </row>
    <row r="28" ht="15.75" customHeight="1">
      <c r="A28" s="260"/>
      <c r="B28" s="275"/>
      <c r="C28" s="275"/>
      <c r="D28" s="284" t="str">
        <f>DPA!D45</f>
        <v>-</v>
      </c>
      <c r="E28" s="285" t="str">
        <f>DPA!E45</f>
        <v>Kertas dan Cover
Spesifikasi : Kertas HVS F4 70 gr</v>
      </c>
      <c r="F28" s="281"/>
      <c r="G28" s="272"/>
      <c r="H28" s="282"/>
      <c r="I28" s="282"/>
      <c r="J28" s="282"/>
      <c r="K28" s="276">
        <f>DPA!S45</f>
        <v>276600</v>
      </c>
      <c r="L28" s="281"/>
      <c r="M28" s="277">
        <f t="shared" si="2"/>
        <v>276600</v>
      </c>
      <c r="N28" s="283"/>
      <c r="O28" s="283"/>
      <c r="P28" s="283"/>
      <c r="Q28" s="283"/>
      <c r="R28" s="281"/>
      <c r="S28" s="283"/>
      <c r="T28" s="277"/>
      <c r="U28" s="260"/>
      <c r="V28" s="8"/>
      <c r="W28" s="8"/>
      <c r="X28" s="8"/>
      <c r="Y28" s="8"/>
      <c r="Z28" s="8"/>
    </row>
    <row r="29" ht="15.75" customHeight="1">
      <c r="A29" s="260"/>
      <c r="B29" s="275"/>
      <c r="C29" s="275"/>
      <c r="D29" s="275"/>
      <c r="E29" s="275"/>
      <c r="F29" s="281"/>
      <c r="G29" s="272"/>
      <c r="H29" s="282"/>
      <c r="I29" s="282"/>
      <c r="J29" s="282"/>
      <c r="K29" s="276"/>
      <c r="L29" s="281"/>
      <c r="M29" s="277"/>
      <c r="N29" s="283"/>
      <c r="O29" s="283"/>
      <c r="P29" s="283"/>
      <c r="Q29" s="283"/>
      <c r="R29" s="281"/>
      <c r="S29" s="283"/>
      <c r="T29" s="277"/>
      <c r="U29" s="260"/>
      <c r="V29" s="8"/>
      <c r="W29" s="8"/>
      <c r="X29" s="8"/>
      <c r="Y29" s="8"/>
      <c r="Z29" s="8"/>
    </row>
    <row r="30" ht="15.75" customHeight="1">
      <c r="A30" s="260"/>
      <c r="B30" s="275" t="str">
        <f>DPA!B47</f>
        <v>5.1.02.01.01.0026</v>
      </c>
      <c r="C30" s="275" t="str">
        <f>DPA!C47</f>
        <v>Belanja Alat/Bahan untuk Kegiatan Kantor- Bahan Cetak</v>
      </c>
      <c r="D30" s="275"/>
      <c r="E30" s="275"/>
      <c r="F30" s="281"/>
      <c r="G30" s="272"/>
      <c r="H30" s="282"/>
      <c r="I30" s="282"/>
      <c r="J30" s="282"/>
      <c r="K30" s="276">
        <f>DPA!S47</f>
        <v>544000</v>
      </c>
      <c r="L30" s="281"/>
      <c r="M30" s="277">
        <f t="shared" ref="M30:M31" si="3">K30</f>
        <v>544000</v>
      </c>
      <c r="N30" s="283"/>
      <c r="O30" s="283"/>
      <c r="P30" s="283"/>
      <c r="Q30" s="283"/>
      <c r="R30" s="281"/>
      <c r="S30" s="283"/>
      <c r="T30" s="277"/>
      <c r="U30" s="260"/>
      <c r="V30" s="8"/>
      <c r="W30" s="8"/>
      <c r="X30" s="8"/>
      <c r="Y30" s="8"/>
      <c r="Z30" s="8"/>
    </row>
    <row r="31" ht="15.75" customHeight="1">
      <c r="A31" s="260"/>
      <c r="B31" s="275"/>
      <c r="C31" s="275"/>
      <c r="D31" s="284" t="str">
        <f>DPA!D48</f>
        <v>-</v>
      </c>
      <c r="E31" s="285" t="str">
        <f>DPA!E48</f>
        <v>Foto Copy
Spesifikasi : Foto copy Hitam Putih-HVS
A4/F4</v>
      </c>
      <c r="F31" s="281"/>
      <c r="G31" s="272"/>
      <c r="H31" s="282"/>
      <c r="I31" s="282"/>
      <c r="J31" s="282"/>
      <c r="K31" s="276">
        <f>DPA!S48</f>
        <v>544000</v>
      </c>
      <c r="L31" s="277"/>
      <c r="M31" s="277">
        <f t="shared" si="3"/>
        <v>544000</v>
      </c>
      <c r="N31" s="278"/>
      <c r="O31" s="278"/>
      <c r="P31" s="278"/>
      <c r="Q31" s="278"/>
      <c r="R31" s="277"/>
      <c r="S31" s="278"/>
      <c r="T31" s="277"/>
      <c r="U31" s="260"/>
      <c r="V31" s="8"/>
      <c r="W31" s="8"/>
      <c r="X31" s="8"/>
      <c r="Y31" s="8"/>
      <c r="Z31" s="8"/>
    </row>
    <row r="32" ht="15.75" customHeight="1">
      <c r="A32" s="260"/>
      <c r="B32" s="275"/>
      <c r="C32" s="275"/>
      <c r="D32" s="275"/>
      <c r="E32" s="275"/>
      <c r="F32" s="281"/>
      <c r="G32" s="272"/>
      <c r="H32" s="282"/>
      <c r="I32" s="282"/>
      <c r="J32" s="282"/>
      <c r="K32" s="276"/>
      <c r="L32" s="281"/>
      <c r="M32" s="277"/>
      <c r="N32" s="283"/>
      <c r="O32" s="283"/>
      <c r="P32" s="283"/>
      <c r="Q32" s="283"/>
      <c r="R32" s="281"/>
      <c r="S32" s="283"/>
      <c r="T32" s="277"/>
      <c r="U32" s="260"/>
      <c r="V32" s="8"/>
      <c r="W32" s="8"/>
      <c r="X32" s="8"/>
      <c r="Y32" s="8"/>
      <c r="Z32" s="8"/>
    </row>
    <row r="33" ht="15.75" customHeight="1">
      <c r="A33" s="260"/>
      <c r="B33" s="275" t="str">
        <f>DPA!B50</f>
        <v>5.1.02.01.01.0027</v>
      </c>
      <c r="C33" s="275" t="str">
        <f>DPA!C50</f>
        <v>Belanja Alat/Bahan untuk Kegiatan Kantor-Benda Pos</v>
      </c>
      <c r="D33" s="275"/>
      <c r="E33" s="275"/>
      <c r="F33" s="281"/>
      <c r="G33" s="272"/>
      <c r="H33" s="282"/>
      <c r="I33" s="282"/>
      <c r="J33" s="282"/>
      <c r="K33" s="276">
        <f>DPA!S50</f>
        <v>150000</v>
      </c>
      <c r="L33" s="281"/>
      <c r="M33" s="277">
        <f t="shared" ref="M33:M34" si="4">K33</f>
        <v>150000</v>
      </c>
      <c r="N33" s="283"/>
      <c r="O33" s="283"/>
      <c r="P33" s="283"/>
      <c r="Q33" s="283"/>
      <c r="R33" s="281"/>
      <c r="S33" s="283"/>
      <c r="T33" s="277"/>
      <c r="U33" s="260"/>
      <c r="V33" s="8"/>
      <c r="W33" s="8"/>
      <c r="X33" s="8"/>
      <c r="Y33" s="8"/>
      <c r="Z33" s="8"/>
    </row>
    <row r="34" ht="15.75" customHeight="1">
      <c r="A34" s="260"/>
      <c r="B34" s="275"/>
      <c r="C34" s="275"/>
      <c r="D34" s="284" t="str">
        <f>DPA!D51</f>
        <v>-</v>
      </c>
      <c r="E34" s="284" t="str">
        <f>DPA!E51</f>
        <v>Materai
Spesifikasi: Materai 10.000</v>
      </c>
      <c r="F34" s="281"/>
      <c r="G34" s="272"/>
      <c r="H34" s="282"/>
      <c r="I34" s="282"/>
      <c r="J34" s="282"/>
      <c r="K34" s="276">
        <f>DPA!S51</f>
        <v>150000</v>
      </c>
      <c r="L34" s="281"/>
      <c r="M34" s="277">
        <f t="shared" si="4"/>
        <v>150000</v>
      </c>
      <c r="N34" s="283"/>
      <c r="O34" s="283"/>
      <c r="P34" s="283"/>
      <c r="Q34" s="283"/>
      <c r="R34" s="281"/>
      <c r="S34" s="283"/>
      <c r="T34" s="277"/>
      <c r="U34" s="260"/>
      <c r="V34" s="8"/>
      <c r="W34" s="8"/>
      <c r="X34" s="8"/>
      <c r="Y34" s="8"/>
      <c r="Z34" s="8"/>
    </row>
    <row r="35" ht="15.75" customHeight="1">
      <c r="A35" s="274"/>
      <c r="B35" s="275"/>
      <c r="C35" s="275"/>
      <c r="D35" s="275"/>
      <c r="E35" s="275"/>
      <c r="F35" s="277"/>
      <c r="G35" s="271"/>
      <c r="H35" s="280"/>
      <c r="I35" s="280"/>
      <c r="J35" s="280"/>
      <c r="K35" s="276"/>
      <c r="L35" s="277"/>
      <c r="M35" s="277"/>
      <c r="N35" s="278"/>
      <c r="O35" s="278"/>
      <c r="P35" s="278"/>
      <c r="Q35" s="278"/>
      <c r="R35" s="277"/>
      <c r="S35" s="278"/>
      <c r="T35" s="277"/>
      <c r="U35" s="274"/>
      <c r="V35" s="72"/>
      <c r="W35" s="72"/>
      <c r="X35" s="72"/>
      <c r="Y35" s="72"/>
      <c r="Z35" s="72"/>
    </row>
    <row r="36" ht="15.75" customHeight="1">
      <c r="A36" s="260"/>
      <c r="B36" s="275" t="str">
        <f>DPA!B53</f>
        <v>5.1.02.04</v>
      </c>
      <c r="C36" s="275" t="str">
        <f>DPA!C53</f>
        <v>Belanja Perjalanan Dinas</v>
      </c>
      <c r="D36" s="275"/>
      <c r="E36" s="275"/>
      <c r="F36" s="281"/>
      <c r="G36" s="272"/>
      <c r="H36" s="282"/>
      <c r="I36" s="282"/>
      <c r="J36" s="282"/>
      <c r="K36" s="276">
        <f>DPA!S53</f>
        <v>31208000</v>
      </c>
      <c r="L36" s="277"/>
      <c r="M36" s="277">
        <f t="shared" ref="M36:M43" si="5">K36</f>
        <v>31208000</v>
      </c>
      <c r="N36" s="278"/>
      <c r="O36" s="278"/>
      <c r="P36" s="278"/>
      <c r="Q36" s="278"/>
      <c r="R36" s="277"/>
      <c r="S36" s="278"/>
      <c r="T36" s="277"/>
      <c r="U36" s="260"/>
      <c r="V36" s="8"/>
      <c r="W36" s="8"/>
      <c r="X36" s="8"/>
      <c r="Y36" s="8"/>
      <c r="Z36" s="8"/>
    </row>
    <row r="37" ht="15.75" hidden="1" customHeight="1">
      <c r="A37" s="260"/>
      <c r="B37" s="275" t="str">
        <f>DPA!B54</f>
        <v>5.1.02.04.01</v>
      </c>
      <c r="C37" s="275" t="str">
        <f>DPA!C54</f>
        <v>Belanja Perjalanan Dinas Dalam Negeri</v>
      </c>
      <c r="D37" s="275" t="str">
        <f>DPA!D54</f>
        <v/>
      </c>
      <c r="E37" s="275" t="str">
        <f>DPA!E54</f>
        <v/>
      </c>
      <c r="F37" s="281"/>
      <c r="G37" s="272"/>
      <c r="H37" s="282"/>
      <c r="I37" s="282"/>
      <c r="J37" s="282"/>
      <c r="K37" s="276">
        <f>DPA!S54</f>
        <v>31208000</v>
      </c>
      <c r="L37" s="281"/>
      <c r="M37" s="277">
        <f t="shared" si="5"/>
        <v>31208000</v>
      </c>
      <c r="N37" s="283"/>
      <c r="O37" s="283"/>
      <c r="P37" s="283"/>
      <c r="Q37" s="283"/>
      <c r="R37" s="281"/>
      <c r="S37" s="283"/>
      <c r="T37" s="277"/>
      <c r="U37" s="260"/>
      <c r="V37" s="8"/>
      <c r="W37" s="8"/>
      <c r="X37" s="8"/>
      <c r="Y37" s="8"/>
      <c r="Z37" s="8"/>
    </row>
    <row r="38" ht="15.75" hidden="1" customHeight="1">
      <c r="A38" s="260"/>
      <c r="B38" s="275" t="str">
        <f>DPA!B55</f>
        <v>5.1.02.04.01.0001</v>
      </c>
      <c r="C38" s="275" t="str">
        <f>DPA!C55</f>
        <v>Belanja Perjalanan Dinas Biasa</v>
      </c>
      <c r="D38" s="275" t="str">
        <f>DPA!D55</f>
        <v/>
      </c>
      <c r="E38" s="275" t="str">
        <f>DPA!E55</f>
        <v/>
      </c>
      <c r="F38" s="281"/>
      <c r="G38" s="272"/>
      <c r="H38" s="282"/>
      <c r="I38" s="282"/>
      <c r="J38" s="282"/>
      <c r="K38" s="276">
        <f>DPA!S55</f>
        <v>31208000</v>
      </c>
      <c r="L38" s="281"/>
      <c r="M38" s="277">
        <f t="shared" si="5"/>
        <v>31208000</v>
      </c>
      <c r="N38" s="283"/>
      <c r="O38" s="283"/>
      <c r="P38" s="283"/>
      <c r="Q38" s="283"/>
      <c r="R38" s="281"/>
      <c r="S38" s="283"/>
      <c r="T38" s="277"/>
      <c r="U38" s="260"/>
      <c r="V38" s="8"/>
      <c r="W38" s="8"/>
      <c r="X38" s="8"/>
      <c r="Y38" s="8"/>
      <c r="Z38" s="8"/>
    </row>
    <row r="39" ht="15.75" customHeight="1">
      <c r="A39" s="260"/>
      <c r="B39" s="275"/>
      <c r="C39" s="275"/>
      <c r="D39" s="284" t="str">
        <f>DPA!D56</f>
        <v>-</v>
      </c>
      <c r="E39" s="285" t="str">
        <f>DPA!E56</f>
        <v>Penginapan Dalam Negeri di- D.K.I. JAKARTA
Spesifikasi: PEJABAT ESELON III / GOLONGAN IV</v>
      </c>
      <c r="F39" s="281"/>
      <c r="G39" s="272"/>
      <c r="H39" s="282"/>
      <c r="I39" s="282"/>
      <c r="J39" s="282"/>
      <c r="K39" s="276">
        <f>DPA!S56</f>
        <v>7936000</v>
      </c>
      <c r="L39" s="281"/>
      <c r="M39" s="277">
        <f t="shared" si="5"/>
        <v>7936000</v>
      </c>
      <c r="N39" s="283"/>
      <c r="O39" s="283"/>
      <c r="P39" s="283"/>
      <c r="Q39" s="283"/>
      <c r="R39" s="281"/>
      <c r="S39" s="283"/>
      <c r="T39" s="277"/>
      <c r="U39" s="260"/>
      <c r="V39" s="8"/>
      <c r="W39" s="8"/>
      <c r="X39" s="8"/>
      <c r="Y39" s="8"/>
      <c r="Z39" s="8"/>
    </row>
    <row r="40" ht="15.75" customHeight="1">
      <c r="A40" s="274"/>
      <c r="B40" s="275"/>
      <c r="C40" s="275"/>
      <c r="D40" s="284" t="str">
        <f>DPA!D57</f>
        <v>-</v>
      </c>
      <c r="E40" s="285" t="str">
        <f>DPA!E57</f>
        <v>Taxi dari/ke Bandara - Perjalanan Dinas Dalam Negeri
Spesifikasi: BALI</v>
      </c>
      <c r="F40" s="277"/>
      <c r="G40" s="271"/>
      <c r="H40" s="280"/>
      <c r="I40" s="280"/>
      <c r="J40" s="280"/>
      <c r="K40" s="276">
        <f>DPA!S57</f>
        <v>1816000</v>
      </c>
      <c r="L40" s="277"/>
      <c r="M40" s="277">
        <f t="shared" si="5"/>
        <v>1816000</v>
      </c>
      <c r="N40" s="278"/>
      <c r="O40" s="278"/>
      <c r="P40" s="278"/>
      <c r="Q40" s="278"/>
      <c r="R40" s="277"/>
      <c r="S40" s="278"/>
      <c r="T40" s="277"/>
      <c r="U40" s="274"/>
      <c r="V40" s="72"/>
      <c r="W40" s="72"/>
      <c r="X40" s="72"/>
      <c r="Y40" s="72"/>
      <c r="Z40" s="72"/>
    </row>
    <row r="41" ht="15.75" customHeight="1">
      <c r="A41" s="260"/>
      <c r="B41" s="275"/>
      <c r="C41" s="275"/>
      <c r="D41" s="284" t="str">
        <f>DPA!D58</f>
        <v>-</v>
      </c>
      <c r="E41" s="285" t="str">
        <f>DPA!E58</f>
        <v>Taxi dari/ke Bandara - Perjalanan Dinas Dalam Negeri
Spesifikasi: D.K.I. JAKARTA</v>
      </c>
      <c r="F41" s="281"/>
      <c r="G41" s="272"/>
      <c r="H41" s="282"/>
      <c r="I41" s="282"/>
      <c r="J41" s="282"/>
      <c r="K41" s="276">
        <f>DPA!S58</f>
        <v>2048000</v>
      </c>
      <c r="L41" s="277"/>
      <c r="M41" s="277">
        <f t="shared" si="5"/>
        <v>2048000</v>
      </c>
      <c r="N41" s="278"/>
      <c r="O41" s="278"/>
      <c r="P41" s="278"/>
      <c r="Q41" s="278"/>
      <c r="R41" s="277"/>
      <c r="S41" s="278"/>
      <c r="T41" s="277"/>
      <c r="U41" s="260"/>
      <c r="V41" s="8"/>
      <c r="W41" s="8"/>
      <c r="X41" s="8"/>
      <c r="Y41" s="8"/>
      <c r="Z41" s="8"/>
    </row>
    <row r="42" ht="15.75" hidden="1" customHeight="1">
      <c r="A42" s="260"/>
      <c r="B42" s="275"/>
      <c r="C42" s="275"/>
      <c r="D42" s="284" t="str">
        <f>DPA!D59</f>
        <v>-</v>
      </c>
      <c r="E42" s="285" t="str">
        <f>DPA!E59</f>
        <v>Satuan Biaya Tiket Dalam Negeri
Spesifikasi : Denpasar - Jakarta</v>
      </c>
      <c r="F42" s="281"/>
      <c r="G42" s="272"/>
      <c r="H42" s="282"/>
      <c r="I42" s="282"/>
      <c r="J42" s="282"/>
      <c r="K42" s="276">
        <f>DPA!S59</f>
        <v>13048000</v>
      </c>
      <c r="L42" s="281"/>
      <c r="M42" s="277">
        <f t="shared" si="5"/>
        <v>13048000</v>
      </c>
      <c r="N42" s="283"/>
      <c r="O42" s="283"/>
      <c r="P42" s="283"/>
      <c r="Q42" s="283"/>
      <c r="R42" s="281"/>
      <c r="S42" s="283"/>
      <c r="T42" s="277"/>
      <c r="U42" s="260"/>
      <c r="V42" s="8"/>
      <c r="W42" s="8"/>
      <c r="X42" s="8"/>
      <c r="Y42" s="8"/>
      <c r="Z42" s="8"/>
    </row>
    <row r="43" ht="15.75" customHeight="1">
      <c r="A43" s="260"/>
      <c r="B43" s="275"/>
      <c r="C43" s="275"/>
      <c r="D43" s="284" t="str">
        <f>DPA!D60</f>
        <v>-</v>
      </c>
      <c r="E43" s="285" t="str">
        <f>DPA!E60</f>
        <v>Uang Harian Perjalanan Dinas Luar Kota/Luar Daerah
Spesifikasi: D.K.I. JAKARTA</v>
      </c>
      <c r="F43" s="281"/>
      <c r="G43" s="272"/>
      <c r="H43" s="282"/>
      <c r="I43" s="282"/>
      <c r="J43" s="282"/>
      <c r="K43" s="276">
        <f>DPA!S60</f>
        <v>6360000</v>
      </c>
      <c r="L43" s="281"/>
      <c r="M43" s="277">
        <f t="shared" si="5"/>
        <v>6360000</v>
      </c>
      <c r="N43" s="283"/>
      <c r="O43" s="283"/>
      <c r="P43" s="283"/>
      <c r="Q43" s="283"/>
      <c r="R43" s="281"/>
      <c r="S43" s="283"/>
      <c r="T43" s="277"/>
      <c r="U43" s="260"/>
      <c r="V43" s="8"/>
      <c r="W43" s="8"/>
      <c r="X43" s="8"/>
      <c r="Y43" s="8"/>
      <c r="Z43" s="8"/>
    </row>
    <row r="44" ht="15.75" customHeight="1">
      <c r="A44" s="260"/>
      <c r="B44" s="275"/>
      <c r="C44" s="275"/>
      <c r="D44" s="275"/>
      <c r="E44" s="275"/>
      <c r="F44" s="281"/>
      <c r="G44" s="272"/>
      <c r="H44" s="282"/>
      <c r="I44" s="282"/>
      <c r="J44" s="282"/>
      <c r="K44" s="276"/>
      <c r="L44" s="277"/>
      <c r="M44" s="277"/>
      <c r="N44" s="278"/>
      <c r="O44" s="278"/>
      <c r="P44" s="278"/>
      <c r="Q44" s="278"/>
      <c r="R44" s="277"/>
      <c r="S44" s="278"/>
      <c r="T44" s="277"/>
      <c r="U44" s="260"/>
      <c r="V44" s="8"/>
      <c r="W44" s="8"/>
      <c r="X44" s="8"/>
      <c r="Y44" s="8"/>
      <c r="Z44" s="8"/>
    </row>
    <row r="45" ht="15.75" hidden="1" customHeight="1">
      <c r="A45" s="260"/>
      <c r="B45" s="275" t="str">
        <f>DPA!B62</f>
        <v>5.2 </v>
      </c>
      <c r="C45" s="275" t="str">
        <f>DPA!C62</f>
        <v>Belanja Modal</v>
      </c>
      <c r="D45" s="275"/>
      <c r="E45" s="275"/>
      <c r="F45" s="281"/>
      <c r="G45" s="272"/>
      <c r="H45" s="282"/>
      <c r="I45" s="282"/>
      <c r="J45" s="282"/>
      <c r="K45" s="276">
        <f>DPA!S62</f>
        <v>61372400</v>
      </c>
      <c r="L45" s="281"/>
      <c r="M45" s="277">
        <f t="shared" ref="M45:M54" si="6">K45</f>
        <v>61372400</v>
      </c>
      <c r="N45" s="283"/>
      <c r="O45" s="283"/>
      <c r="P45" s="283"/>
      <c r="Q45" s="283"/>
      <c r="R45" s="281"/>
      <c r="S45" s="283"/>
      <c r="T45" s="277"/>
      <c r="U45" s="260"/>
      <c r="V45" s="8"/>
      <c r="W45" s="8"/>
      <c r="X45" s="8"/>
      <c r="Y45" s="8"/>
      <c r="Z45" s="8"/>
    </row>
    <row r="46" ht="15.75" hidden="1" customHeight="1">
      <c r="A46" s="260"/>
      <c r="B46" s="275" t="str">
        <f>DPA!B63</f>
        <v>5.2.02</v>
      </c>
      <c r="C46" s="275" t="str">
        <f>DPA!C63</f>
        <v>Belanja Modal Perapatan dan Mesin</v>
      </c>
      <c r="D46" s="275"/>
      <c r="E46" s="275"/>
      <c r="F46" s="281"/>
      <c r="G46" s="272"/>
      <c r="H46" s="282"/>
      <c r="I46" s="282"/>
      <c r="J46" s="282"/>
      <c r="K46" s="276">
        <f>DPA!S63</f>
        <v>61372400</v>
      </c>
      <c r="L46" s="281"/>
      <c r="M46" s="277">
        <f t="shared" si="6"/>
        <v>61372400</v>
      </c>
      <c r="N46" s="283"/>
      <c r="O46" s="283"/>
      <c r="P46" s="283"/>
      <c r="Q46" s="283"/>
      <c r="R46" s="281"/>
      <c r="S46" s="283"/>
      <c r="T46" s="277"/>
      <c r="U46" s="260"/>
      <c r="V46" s="8"/>
      <c r="W46" s="8"/>
      <c r="X46" s="8"/>
      <c r="Y46" s="8"/>
      <c r="Z46" s="8"/>
    </row>
    <row r="47" ht="15.75" hidden="1" customHeight="1">
      <c r="A47" s="260"/>
      <c r="B47" s="275" t="str">
        <f>DPA!B64</f>
        <v>5.2.02.05</v>
      </c>
      <c r="C47" s="275" t="str">
        <f>DPA!C64</f>
        <v>Belanja Modal Alat Kantor dan Rumah Tangga</v>
      </c>
      <c r="D47" s="275"/>
      <c r="E47" s="275"/>
      <c r="F47" s="281"/>
      <c r="G47" s="272"/>
      <c r="H47" s="282"/>
      <c r="I47" s="282"/>
      <c r="J47" s="282"/>
      <c r="K47" s="276">
        <f>DPA!S64</f>
        <v>61372400</v>
      </c>
      <c r="L47" s="281"/>
      <c r="M47" s="277">
        <f t="shared" si="6"/>
        <v>61372400</v>
      </c>
      <c r="N47" s="283"/>
      <c r="O47" s="283"/>
      <c r="P47" s="283"/>
      <c r="Q47" s="283"/>
      <c r="R47" s="281"/>
      <c r="S47" s="283"/>
      <c r="T47" s="277"/>
      <c r="U47" s="260"/>
      <c r="V47" s="8"/>
      <c r="W47" s="8"/>
      <c r="X47" s="8"/>
      <c r="Y47" s="8"/>
      <c r="Z47" s="8"/>
    </row>
    <row r="48" ht="15.75" hidden="1" customHeight="1">
      <c r="A48" s="260"/>
      <c r="B48" s="275" t="str">
        <f>DPA!B65</f>
        <v>5.2.02.05.001</v>
      </c>
      <c r="C48" s="275" t="str">
        <f>DPA!C65</f>
        <v>Belanja Modal Alat Kantor</v>
      </c>
      <c r="D48" s="275"/>
      <c r="E48" s="275"/>
      <c r="F48" s="281"/>
      <c r="G48" s="272"/>
      <c r="H48" s="282"/>
      <c r="I48" s="282"/>
      <c r="J48" s="282"/>
      <c r="K48" s="276">
        <f>DPA!S65</f>
        <v>34347600</v>
      </c>
      <c r="L48" s="281"/>
      <c r="M48" s="277">
        <f t="shared" si="6"/>
        <v>34347600</v>
      </c>
      <c r="N48" s="283"/>
      <c r="O48" s="283"/>
      <c r="P48" s="283"/>
      <c r="Q48" s="283"/>
      <c r="R48" s="281"/>
      <c r="S48" s="283"/>
      <c r="T48" s="277"/>
      <c r="U48" s="260"/>
      <c r="V48" s="8"/>
      <c r="W48" s="8"/>
      <c r="X48" s="8"/>
      <c r="Y48" s="8"/>
      <c r="Z48" s="8"/>
    </row>
    <row r="49" ht="15.75" hidden="1" customHeight="1">
      <c r="A49" s="260"/>
      <c r="B49" s="275" t="str">
        <f>DPA!B66</f>
        <v>5.2.02.05.001.00005</v>
      </c>
      <c r="C49" s="275" t="str">
        <f>DPA!C66</f>
        <v>Belanja Modal Alat Kantor Lainnya</v>
      </c>
      <c r="D49" s="275"/>
      <c r="E49" s="275"/>
      <c r="F49" s="281"/>
      <c r="G49" s="272"/>
      <c r="H49" s="282"/>
      <c r="I49" s="282"/>
      <c r="J49" s="282"/>
      <c r="K49" s="276">
        <f>DPA!S66</f>
        <v>34347600</v>
      </c>
      <c r="L49" s="281"/>
      <c r="M49" s="277">
        <f t="shared" si="6"/>
        <v>34347600</v>
      </c>
      <c r="N49" s="283"/>
      <c r="O49" s="283"/>
      <c r="P49" s="283"/>
      <c r="Q49" s="283"/>
      <c r="R49" s="281"/>
      <c r="S49" s="283"/>
      <c r="T49" s="277"/>
      <c r="U49" s="260"/>
      <c r="V49" s="8"/>
      <c r="W49" s="8"/>
      <c r="X49" s="8"/>
      <c r="Y49" s="8"/>
      <c r="Z49" s="8"/>
    </row>
    <row r="50" ht="15.75" hidden="1" customHeight="1">
      <c r="A50" s="260"/>
      <c r="B50" s="275" t="str">
        <f>DPA!B67</f>
        <v/>
      </c>
      <c r="C50" s="275" t="str">
        <f>DPA!C67</f>
        <v/>
      </c>
      <c r="D50" s="275"/>
      <c r="E50" s="275"/>
      <c r="F50" s="281"/>
      <c r="G50" s="272"/>
      <c r="H50" s="282"/>
      <c r="I50" s="282"/>
      <c r="J50" s="282"/>
      <c r="K50" s="276">
        <f>DPA!S67</f>
        <v>34347600</v>
      </c>
      <c r="L50" s="281"/>
      <c r="M50" s="277">
        <f t="shared" si="6"/>
        <v>34347600</v>
      </c>
      <c r="N50" s="283"/>
      <c r="O50" s="283"/>
      <c r="P50" s="283"/>
      <c r="Q50" s="283"/>
      <c r="R50" s="281"/>
      <c r="S50" s="283"/>
      <c r="T50" s="277"/>
      <c r="U50" s="260"/>
      <c r="V50" s="8"/>
      <c r="W50" s="8"/>
      <c r="X50" s="8"/>
      <c r="Y50" s="8"/>
      <c r="Z50" s="8"/>
    </row>
    <row r="51" ht="15.75" hidden="1" customHeight="1">
      <c r="A51" s="260"/>
      <c r="B51" s="275" t="str">
        <f>DPA!B68</f>
        <v/>
      </c>
      <c r="C51" s="275" t="str">
        <f>DPA!C68</f>
        <v/>
      </c>
      <c r="D51" s="275"/>
      <c r="E51" s="275"/>
      <c r="F51" s="281"/>
      <c r="G51" s="272"/>
      <c r="H51" s="282"/>
      <c r="I51" s="282"/>
      <c r="J51" s="282"/>
      <c r="K51" s="276" t="str">
        <f>DPA!S68</f>
        <v/>
      </c>
      <c r="L51" s="281"/>
      <c r="M51" s="277" t="str">
        <f t="shared" si="6"/>
        <v/>
      </c>
      <c r="N51" s="283"/>
      <c r="O51" s="283"/>
      <c r="P51" s="283"/>
      <c r="Q51" s="283"/>
      <c r="R51" s="281"/>
      <c r="S51" s="283"/>
      <c r="T51" s="277"/>
      <c r="U51" s="260"/>
      <c r="V51" s="8"/>
      <c r="W51" s="8"/>
      <c r="X51" s="8"/>
      <c r="Y51" s="8"/>
      <c r="Z51" s="8"/>
    </row>
    <row r="52" ht="15.75" hidden="1" customHeight="1">
      <c r="A52" s="260"/>
      <c r="B52" s="275" t="str">
        <f>DPA!B69</f>
        <v>5.2.02.05.002</v>
      </c>
      <c r="C52" s="275" t="str">
        <f>DPA!C69</f>
        <v>Belanja Modal Alat Rumah Tangga</v>
      </c>
      <c r="D52" s="275"/>
      <c r="E52" s="275"/>
      <c r="F52" s="281"/>
      <c r="G52" s="272"/>
      <c r="H52" s="282"/>
      <c r="I52" s="282"/>
      <c r="J52" s="282"/>
      <c r="K52" s="276">
        <f>DPA!S69</f>
        <v>27024800</v>
      </c>
      <c r="L52" s="281"/>
      <c r="M52" s="277">
        <f t="shared" si="6"/>
        <v>27024800</v>
      </c>
      <c r="N52" s="283"/>
      <c r="O52" s="283"/>
      <c r="P52" s="283"/>
      <c r="Q52" s="283"/>
      <c r="R52" s="281"/>
      <c r="S52" s="283"/>
      <c r="T52" s="277"/>
      <c r="U52" s="260"/>
      <c r="V52" s="8"/>
      <c r="W52" s="8"/>
      <c r="X52" s="8"/>
      <c r="Y52" s="8"/>
      <c r="Z52" s="8"/>
    </row>
    <row r="53" ht="15.75" customHeight="1">
      <c r="A53" s="260"/>
      <c r="B53" s="275" t="str">
        <f>DPA!B70</f>
        <v>5.2.02.05.002.000
06</v>
      </c>
      <c r="C53" s="275" t="str">
        <f>DPA!C70</f>
        <v>Belanja Modal Alat Rumah Tangga Lainnya (Home Use)</v>
      </c>
      <c r="D53" s="275"/>
      <c r="E53" s="275"/>
      <c r="F53" s="281"/>
      <c r="G53" s="272"/>
      <c r="H53" s="282"/>
      <c r="I53" s="282"/>
      <c r="J53" s="282"/>
      <c r="K53" s="276">
        <f>DPA!S70</f>
        <v>27024800</v>
      </c>
      <c r="L53" s="281"/>
      <c r="M53" s="277">
        <f t="shared" si="6"/>
        <v>27024800</v>
      </c>
      <c r="N53" s="283"/>
      <c r="O53" s="283"/>
      <c r="P53" s="283"/>
      <c r="Q53" s="283"/>
      <c r="R53" s="281"/>
      <c r="S53" s="283"/>
      <c r="T53" s="277"/>
      <c r="U53" s="260"/>
      <c r="V53" s="8"/>
      <c r="W53" s="8"/>
      <c r="X53" s="8"/>
      <c r="Y53" s="8"/>
      <c r="Z53" s="8"/>
    </row>
    <row r="54" ht="15.75" customHeight="1">
      <c r="A54" s="260"/>
      <c r="B54" s="275"/>
      <c r="C54" s="275"/>
      <c r="D54" s="284" t="str">
        <f>DPA!D71</f>
        <v>-</v>
      </c>
      <c r="E54" s="285" t="str">
        <f>DPA!E71</f>
        <v>Televisi
Spesifikasi : Smart TV 70 Inch min. UHD 4K,
Garansi Min. 1 Tahun</v>
      </c>
      <c r="F54" s="281"/>
      <c r="G54" s="272"/>
      <c r="H54" s="282"/>
      <c r="I54" s="282"/>
      <c r="J54" s="282"/>
      <c r="K54" s="276">
        <f>DPA!S71</f>
        <v>27024800</v>
      </c>
      <c r="L54" s="277"/>
      <c r="M54" s="277">
        <f t="shared" si="6"/>
        <v>27024800</v>
      </c>
      <c r="N54" s="278"/>
      <c r="O54" s="278"/>
      <c r="P54" s="278"/>
      <c r="Q54" s="278"/>
      <c r="R54" s="277"/>
      <c r="S54" s="278"/>
      <c r="T54" s="277"/>
      <c r="U54" s="260"/>
      <c r="V54" s="8"/>
      <c r="W54" s="8"/>
      <c r="X54" s="8"/>
      <c r="Y54" s="8"/>
      <c r="Z54" s="8"/>
    </row>
    <row r="55" ht="15.75" customHeight="1">
      <c r="A55" s="260"/>
      <c r="B55" s="275"/>
      <c r="C55" s="275"/>
      <c r="D55" s="275"/>
      <c r="E55" s="275"/>
      <c r="F55" s="281"/>
      <c r="G55" s="272"/>
      <c r="H55" s="282"/>
      <c r="I55" s="282"/>
      <c r="J55" s="282"/>
      <c r="K55" s="276"/>
      <c r="L55" s="281"/>
      <c r="M55" s="277"/>
      <c r="N55" s="283"/>
      <c r="O55" s="283"/>
      <c r="P55" s="283"/>
      <c r="Q55" s="283"/>
      <c r="R55" s="281"/>
      <c r="S55" s="283"/>
      <c r="T55" s="277"/>
      <c r="U55" s="260"/>
      <c r="V55" s="8"/>
      <c r="W55" s="8"/>
      <c r="X55" s="8"/>
      <c r="Y55" s="8"/>
      <c r="Z55" s="8"/>
    </row>
    <row r="56" ht="8.25" customHeight="1">
      <c r="A56" s="260"/>
      <c r="B56" s="260"/>
      <c r="C56" s="260"/>
      <c r="D56" s="260"/>
      <c r="E56" s="8"/>
      <c r="F56" s="260"/>
      <c r="G56" s="260"/>
      <c r="H56" s="260"/>
      <c r="I56" s="260"/>
      <c r="J56" s="260"/>
      <c r="K56" s="270"/>
      <c r="L56" s="270"/>
      <c r="M56" s="270"/>
      <c r="N56" s="270"/>
      <c r="O56" s="260"/>
      <c r="P56" s="270"/>
      <c r="Q56" s="270"/>
      <c r="R56" s="270"/>
      <c r="S56" s="270"/>
      <c r="T56" s="270"/>
      <c r="U56" s="260"/>
      <c r="V56" s="8"/>
      <c r="W56" s="8"/>
      <c r="X56" s="8"/>
      <c r="Y56" s="8"/>
      <c r="Z56" s="8"/>
    </row>
    <row r="57" ht="15.75" customHeight="1">
      <c r="A57" s="260"/>
      <c r="B57" s="260"/>
      <c r="C57" s="260"/>
      <c r="D57" s="260"/>
      <c r="E57" s="8"/>
      <c r="F57" s="260"/>
      <c r="G57" s="260"/>
      <c r="H57" s="260"/>
      <c r="I57" s="260"/>
      <c r="J57" s="260"/>
      <c r="K57" s="270"/>
      <c r="L57" s="270"/>
      <c r="M57" s="270"/>
      <c r="N57" s="270"/>
      <c r="O57" s="260" t="s">
        <v>114</v>
      </c>
      <c r="P57" s="270"/>
      <c r="Q57" s="270"/>
      <c r="R57" s="270"/>
      <c r="S57" s="270"/>
      <c r="T57" s="270"/>
      <c r="U57" s="260"/>
      <c r="V57" s="8"/>
      <c r="W57" s="8"/>
      <c r="X57" s="8"/>
      <c r="Y57" s="8"/>
      <c r="Z57" s="8"/>
    </row>
    <row r="58" ht="6.75" customHeight="1">
      <c r="A58" s="260"/>
      <c r="B58" s="260"/>
      <c r="C58" s="260"/>
      <c r="D58" s="260"/>
      <c r="E58" s="8"/>
      <c r="F58" s="260"/>
      <c r="G58" s="260"/>
      <c r="H58" s="260"/>
      <c r="I58" s="260"/>
      <c r="J58" s="260"/>
      <c r="K58" s="270"/>
      <c r="L58" s="270"/>
      <c r="M58" s="270"/>
      <c r="N58" s="270"/>
      <c r="O58" s="260"/>
      <c r="P58" s="270"/>
      <c r="Q58" s="270"/>
      <c r="R58" s="270"/>
      <c r="S58" s="270"/>
      <c r="T58" s="270"/>
      <c r="U58" s="260"/>
      <c r="V58" s="8"/>
      <c r="W58" s="8"/>
      <c r="X58" s="8"/>
      <c r="Y58" s="8"/>
      <c r="Z58" s="8"/>
    </row>
    <row r="59" ht="15.75" customHeight="1">
      <c r="A59" s="260"/>
      <c r="B59" s="260"/>
      <c r="C59" s="260"/>
      <c r="D59" s="260"/>
      <c r="E59" s="260" t="s">
        <v>168</v>
      </c>
      <c r="F59" s="260"/>
      <c r="G59" s="260"/>
      <c r="H59" s="260"/>
      <c r="I59" s="260"/>
      <c r="J59" s="260"/>
      <c r="K59" s="270"/>
      <c r="L59" s="270"/>
      <c r="M59" s="270"/>
      <c r="N59" s="270"/>
      <c r="O59" s="260" t="s">
        <v>217</v>
      </c>
      <c r="P59" s="270"/>
      <c r="Q59" s="270"/>
      <c r="R59" s="270"/>
      <c r="S59" s="270"/>
      <c r="T59" s="270"/>
      <c r="U59" s="260"/>
      <c r="V59" s="8"/>
      <c r="W59" s="8"/>
      <c r="X59" s="8"/>
      <c r="Y59" s="8"/>
      <c r="Z59" s="8"/>
    </row>
    <row r="60" ht="15.75" customHeight="1">
      <c r="A60" s="260"/>
      <c r="B60" s="260"/>
      <c r="C60" s="260"/>
      <c r="D60" s="260"/>
      <c r="E60" s="256" t="s">
        <v>170</v>
      </c>
      <c r="F60" s="260"/>
      <c r="G60" s="260"/>
      <c r="H60" s="260"/>
      <c r="I60" s="260"/>
      <c r="J60" s="260"/>
      <c r="K60" s="270"/>
      <c r="L60" s="270"/>
      <c r="M60" s="270"/>
      <c r="N60" s="270"/>
      <c r="O60" s="260" t="str">
        <f>DPA!N9</f>
        <v/>
      </c>
      <c r="P60" s="270"/>
      <c r="Q60" s="270"/>
      <c r="R60" s="270"/>
      <c r="S60" s="270"/>
      <c r="T60" s="270"/>
      <c r="U60" s="260"/>
      <c r="V60" s="8"/>
      <c r="W60" s="8"/>
      <c r="X60" s="8"/>
      <c r="Y60" s="8"/>
      <c r="Z60" s="8"/>
    </row>
    <row r="61" ht="15.75" customHeight="1">
      <c r="A61" s="260"/>
      <c r="B61" s="260"/>
      <c r="C61" s="260"/>
      <c r="D61" s="260"/>
      <c r="E61" s="256" t="s">
        <v>171</v>
      </c>
      <c r="F61" s="260"/>
      <c r="G61" s="260"/>
      <c r="H61" s="260"/>
      <c r="I61" s="260"/>
      <c r="J61" s="260"/>
      <c r="K61" s="270"/>
      <c r="L61" s="270"/>
      <c r="M61" s="270"/>
      <c r="N61" s="270"/>
      <c r="O61" s="260"/>
      <c r="P61" s="270"/>
      <c r="Q61" s="270"/>
      <c r="R61" s="270"/>
      <c r="S61" s="270"/>
      <c r="T61" s="270"/>
      <c r="U61" s="260"/>
      <c r="V61" s="8"/>
      <c r="W61" s="8"/>
      <c r="X61" s="8"/>
      <c r="Y61" s="8"/>
      <c r="Z61" s="8"/>
    </row>
    <row r="62" ht="15.75" customHeight="1">
      <c r="A62" s="260"/>
      <c r="B62" s="260"/>
      <c r="C62" s="260"/>
      <c r="D62" s="260"/>
      <c r="E62" s="8"/>
      <c r="F62" s="260"/>
      <c r="G62" s="260"/>
      <c r="H62" s="260"/>
      <c r="I62" s="260"/>
      <c r="J62" s="260"/>
      <c r="K62" s="270"/>
      <c r="L62" s="270"/>
      <c r="M62" s="270"/>
      <c r="N62" s="270"/>
      <c r="O62" s="260"/>
      <c r="P62" s="270"/>
      <c r="Q62" s="270"/>
      <c r="R62" s="270"/>
      <c r="S62" s="270"/>
      <c r="T62" s="270"/>
      <c r="U62" s="260"/>
      <c r="V62" s="8"/>
      <c r="W62" s="8"/>
      <c r="X62" s="8"/>
      <c r="Y62" s="8"/>
      <c r="Z62" s="8"/>
    </row>
    <row r="63" ht="15.75" customHeight="1">
      <c r="A63" s="260"/>
      <c r="B63" s="260"/>
      <c r="C63" s="260"/>
      <c r="D63" s="260"/>
      <c r="E63" s="8"/>
      <c r="F63" s="260"/>
      <c r="G63" s="260"/>
      <c r="H63" s="260"/>
      <c r="I63" s="260"/>
      <c r="J63" s="260"/>
      <c r="K63" s="270"/>
      <c r="L63" s="270"/>
      <c r="M63" s="270"/>
      <c r="N63" s="270"/>
      <c r="O63" s="260"/>
      <c r="P63" s="270"/>
      <c r="Q63" s="270"/>
      <c r="R63" s="270"/>
      <c r="S63" s="270"/>
      <c r="T63" s="270"/>
      <c r="U63" s="260"/>
      <c r="V63" s="8"/>
      <c r="W63" s="8"/>
      <c r="X63" s="8"/>
      <c r="Y63" s="8"/>
      <c r="Z63" s="8"/>
    </row>
    <row r="64" ht="15.75" customHeight="1">
      <c r="A64" s="260"/>
      <c r="B64" s="260"/>
      <c r="C64" s="260"/>
      <c r="D64" s="260"/>
      <c r="E64" s="8"/>
      <c r="F64" s="260"/>
      <c r="G64" s="260"/>
      <c r="H64" s="260"/>
      <c r="I64" s="260"/>
      <c r="J64" s="260"/>
      <c r="K64" s="270"/>
      <c r="L64" s="270"/>
      <c r="M64" s="270"/>
      <c r="N64" s="270"/>
      <c r="O64" s="260"/>
      <c r="P64" s="270"/>
      <c r="Q64" s="270"/>
      <c r="R64" s="270"/>
      <c r="S64" s="270"/>
      <c r="T64" s="270"/>
      <c r="U64" s="260"/>
      <c r="V64" s="8"/>
      <c r="W64" s="8"/>
      <c r="X64" s="8"/>
      <c r="Y64" s="8"/>
      <c r="Z64" s="8"/>
    </row>
    <row r="65" ht="15.75" customHeight="1">
      <c r="A65" s="260"/>
      <c r="B65" s="260"/>
      <c r="C65" s="260"/>
      <c r="D65" s="260"/>
      <c r="E65" s="258" t="s">
        <v>123</v>
      </c>
      <c r="F65" s="260"/>
      <c r="G65" s="260"/>
      <c r="H65" s="260"/>
      <c r="I65" s="260"/>
      <c r="J65" s="260"/>
      <c r="K65" s="270"/>
      <c r="L65" s="270"/>
      <c r="M65" s="270"/>
      <c r="N65" s="270"/>
      <c r="O65" s="286"/>
      <c r="P65" s="270"/>
      <c r="Q65" s="270"/>
      <c r="R65" s="270"/>
      <c r="S65" s="270"/>
      <c r="T65" s="270"/>
      <c r="U65" s="260"/>
      <c r="V65" s="8"/>
      <c r="W65" s="8"/>
      <c r="X65" s="8"/>
      <c r="Y65" s="8"/>
      <c r="Z65" s="8"/>
    </row>
    <row r="66" ht="15.75" customHeight="1">
      <c r="A66" s="260"/>
      <c r="B66" s="260"/>
      <c r="C66" s="260"/>
      <c r="D66" s="260"/>
      <c r="E66" s="256" t="s">
        <v>218</v>
      </c>
      <c r="F66" s="8"/>
      <c r="G66" s="260"/>
      <c r="H66" s="260"/>
      <c r="I66" s="260"/>
      <c r="J66" s="260"/>
      <c r="K66" s="270"/>
      <c r="L66" s="270"/>
      <c r="M66" s="270"/>
      <c r="N66" s="270"/>
      <c r="O66" s="260"/>
      <c r="P66" s="270"/>
      <c r="Q66" s="270"/>
      <c r="R66" s="270"/>
      <c r="S66" s="270"/>
      <c r="T66" s="270"/>
      <c r="U66" s="260"/>
      <c r="V66" s="8"/>
      <c r="W66" s="8"/>
      <c r="X66" s="8"/>
      <c r="Y66" s="8"/>
      <c r="Z66" s="8"/>
    </row>
    <row r="67" ht="15.75" customHeight="1">
      <c r="A67" s="260"/>
      <c r="B67" s="260"/>
      <c r="C67" s="260"/>
      <c r="D67" s="260"/>
      <c r="E67" s="256" t="s">
        <v>125</v>
      </c>
      <c r="F67" s="260"/>
      <c r="G67" s="260"/>
      <c r="H67" s="260"/>
      <c r="I67" s="260"/>
      <c r="J67" s="260"/>
      <c r="K67" s="270"/>
      <c r="L67" s="270"/>
      <c r="M67" s="270"/>
      <c r="N67" s="270"/>
      <c r="O67" s="260"/>
      <c r="P67" s="270"/>
      <c r="Q67" s="270"/>
      <c r="R67" s="270"/>
      <c r="S67" s="270"/>
      <c r="T67" s="270"/>
      <c r="U67" s="260"/>
      <c r="V67" s="8"/>
      <c r="W67" s="8"/>
      <c r="X67" s="8"/>
      <c r="Y67" s="8"/>
      <c r="Z67" s="8"/>
    </row>
    <row r="68" ht="15.75" customHeight="1">
      <c r="A68" s="260"/>
      <c r="B68" s="260"/>
      <c r="C68" s="260"/>
      <c r="D68" s="260"/>
      <c r="E68" s="260"/>
      <c r="F68" s="260"/>
      <c r="G68" s="260"/>
      <c r="H68" s="260"/>
      <c r="I68" s="260"/>
      <c r="J68" s="26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60"/>
      <c r="V68" s="8"/>
      <c r="W68" s="8"/>
      <c r="X68" s="8"/>
      <c r="Y68" s="8"/>
      <c r="Z68" s="8"/>
    </row>
    <row r="69" ht="15.75" customHeight="1">
      <c r="A69" s="260"/>
      <c r="B69" s="260"/>
      <c r="C69" s="260"/>
      <c r="D69" s="260"/>
      <c r="E69" s="260"/>
      <c r="F69" s="260"/>
      <c r="G69" s="260"/>
      <c r="H69" s="260"/>
      <c r="I69" s="260"/>
      <c r="J69" s="26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60"/>
      <c r="V69" s="8"/>
      <c r="W69" s="8"/>
      <c r="X69" s="8"/>
      <c r="Y69" s="8"/>
      <c r="Z69" s="8"/>
    </row>
    <row r="70" ht="15.7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8"/>
      <c r="W70" s="8"/>
      <c r="X70" s="8"/>
      <c r="Y70" s="8"/>
      <c r="Z70" s="8"/>
    </row>
    <row r="71" ht="15.7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8"/>
      <c r="W71" s="8"/>
      <c r="X71" s="8"/>
      <c r="Y71" s="8"/>
      <c r="Z71" s="8"/>
    </row>
    <row r="72" ht="15.7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8"/>
      <c r="W72" s="8"/>
      <c r="X72" s="8"/>
      <c r="Y72" s="8"/>
      <c r="Z72" s="8"/>
    </row>
    <row r="73" ht="15.7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8"/>
      <c r="W73" s="8"/>
      <c r="X73" s="8"/>
      <c r="Y73" s="8"/>
      <c r="Z73" s="8"/>
    </row>
    <row r="74" ht="15.7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8"/>
      <c r="W74" s="8"/>
      <c r="X74" s="8"/>
      <c r="Y74" s="8"/>
      <c r="Z74" s="8"/>
    </row>
    <row r="75" ht="15.7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8"/>
      <c r="W75" s="8"/>
      <c r="X75" s="8"/>
      <c r="Y75" s="8"/>
      <c r="Z75" s="8"/>
    </row>
    <row r="76" ht="15.7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70"/>
      <c r="N76" s="260"/>
      <c r="O76" s="260"/>
      <c r="P76" s="260"/>
      <c r="Q76" s="260"/>
      <c r="R76" s="260"/>
      <c r="S76" s="260"/>
      <c r="T76" s="260"/>
      <c r="U76" s="260"/>
      <c r="V76" s="8"/>
      <c r="W76" s="8"/>
      <c r="X76" s="8"/>
      <c r="Y76" s="8"/>
      <c r="Z76" s="8"/>
    </row>
    <row r="77" ht="15.7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8"/>
      <c r="W77" s="8"/>
      <c r="X77" s="8"/>
      <c r="Y77" s="8"/>
      <c r="Z77" s="8"/>
    </row>
    <row r="78" ht="15.7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8"/>
      <c r="W78" s="8"/>
      <c r="X78" s="8"/>
      <c r="Y78" s="8"/>
      <c r="Z78" s="8"/>
    </row>
    <row r="79" ht="15.7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8"/>
      <c r="W79" s="8"/>
      <c r="X79" s="8"/>
      <c r="Y79" s="8"/>
      <c r="Z79" s="8"/>
    </row>
    <row r="80" ht="15.7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8"/>
      <c r="W80" s="8"/>
      <c r="X80" s="8"/>
      <c r="Y80" s="8"/>
      <c r="Z80" s="8"/>
    </row>
    <row r="81" ht="15.7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70"/>
      <c r="M81" s="260"/>
      <c r="N81" s="260"/>
      <c r="O81" s="260"/>
      <c r="P81" s="260"/>
      <c r="Q81" s="260"/>
      <c r="R81" s="260"/>
      <c r="S81" s="260"/>
      <c r="T81" s="260"/>
      <c r="U81" s="260"/>
      <c r="V81" s="8"/>
      <c r="W81" s="8"/>
      <c r="X81" s="8"/>
      <c r="Y81" s="8"/>
      <c r="Z81" s="8"/>
    </row>
    <row r="82" ht="15.7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70"/>
      <c r="O82" s="260"/>
      <c r="P82" s="260"/>
      <c r="Q82" s="260"/>
      <c r="R82" s="260"/>
      <c r="S82" s="260"/>
      <c r="T82" s="260"/>
      <c r="U82" s="260"/>
      <c r="V82" s="8"/>
      <c r="W82" s="8"/>
      <c r="X82" s="8"/>
      <c r="Y82" s="8"/>
      <c r="Z82" s="8"/>
    </row>
    <row r="83" ht="15.7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8"/>
      <c r="W83" s="8"/>
      <c r="X83" s="8"/>
      <c r="Y83" s="8"/>
      <c r="Z83" s="8"/>
    </row>
    <row r="84" ht="15.7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8"/>
      <c r="W84" s="8"/>
      <c r="X84" s="8"/>
      <c r="Y84" s="8"/>
      <c r="Z84" s="8"/>
    </row>
    <row r="85" ht="15.7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8"/>
      <c r="W85" s="8"/>
      <c r="X85" s="8"/>
      <c r="Y85" s="8"/>
      <c r="Z85" s="8"/>
    </row>
    <row r="86" ht="15.7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8"/>
      <c r="W86" s="8"/>
      <c r="X86" s="8"/>
      <c r="Y86" s="8"/>
      <c r="Z86" s="8"/>
    </row>
    <row r="87" ht="15.7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8"/>
      <c r="W87" s="8"/>
      <c r="X87" s="8"/>
      <c r="Y87" s="8"/>
      <c r="Z87" s="8"/>
    </row>
    <row r="88" ht="15.7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8"/>
      <c r="W88" s="8"/>
      <c r="X88" s="8"/>
      <c r="Y88" s="8"/>
      <c r="Z88" s="8"/>
    </row>
    <row r="89" ht="15.7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8"/>
      <c r="W89" s="8"/>
      <c r="X89" s="8"/>
      <c r="Y89" s="8"/>
      <c r="Z89" s="8"/>
    </row>
    <row r="90" ht="15.7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8"/>
      <c r="W90" s="8"/>
      <c r="X90" s="8"/>
      <c r="Y90" s="8"/>
      <c r="Z90" s="8"/>
    </row>
    <row r="91" ht="15.7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8"/>
      <c r="W91" s="8"/>
      <c r="X91" s="8"/>
      <c r="Y91" s="8"/>
      <c r="Z91" s="8"/>
    </row>
    <row r="92" ht="15.7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8"/>
      <c r="W92" s="8"/>
      <c r="X92" s="8"/>
      <c r="Y92" s="8"/>
      <c r="Z92" s="8"/>
    </row>
    <row r="93" ht="15.7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8"/>
      <c r="W93" s="8"/>
      <c r="X93" s="8"/>
      <c r="Y93" s="8"/>
      <c r="Z93" s="8"/>
    </row>
    <row r="94" ht="15.7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8"/>
      <c r="W94" s="8"/>
      <c r="X94" s="8"/>
      <c r="Y94" s="8"/>
      <c r="Z94" s="8"/>
    </row>
    <row r="95" ht="15.7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8"/>
      <c r="W95" s="8"/>
      <c r="X95" s="8"/>
      <c r="Y95" s="8"/>
      <c r="Z95" s="8"/>
    </row>
    <row r="96" ht="15.7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8"/>
      <c r="W96" s="8"/>
      <c r="X96" s="8"/>
      <c r="Y96" s="8"/>
      <c r="Z96" s="8"/>
    </row>
    <row r="97" ht="15.7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8"/>
      <c r="W97" s="8"/>
      <c r="X97" s="8"/>
      <c r="Y97" s="8"/>
      <c r="Z97" s="8"/>
    </row>
    <row r="98" ht="15.7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8"/>
      <c r="W98" s="8"/>
      <c r="X98" s="8"/>
      <c r="Y98" s="8"/>
      <c r="Z98" s="8"/>
    </row>
    <row r="99" ht="15.7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8"/>
      <c r="W99" s="8"/>
      <c r="X99" s="8"/>
      <c r="Y99" s="8"/>
      <c r="Z99" s="8"/>
    </row>
    <row r="100" ht="15.7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8"/>
      <c r="W100" s="8"/>
      <c r="X100" s="8"/>
      <c r="Y100" s="8"/>
      <c r="Z100" s="8"/>
    </row>
    <row r="101" ht="15.7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8"/>
      <c r="W101" s="8"/>
      <c r="X101" s="8"/>
      <c r="Y101" s="8"/>
      <c r="Z101" s="8"/>
    </row>
    <row r="102" ht="15.7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8"/>
      <c r="W102" s="8"/>
      <c r="X102" s="8"/>
      <c r="Y102" s="8"/>
      <c r="Z102" s="8"/>
    </row>
    <row r="103" ht="15.7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8"/>
      <c r="W103" s="8"/>
      <c r="X103" s="8"/>
      <c r="Y103" s="8"/>
      <c r="Z103" s="8"/>
    </row>
    <row r="104" ht="15.7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8"/>
      <c r="W104" s="8"/>
      <c r="X104" s="8"/>
      <c r="Y104" s="8"/>
      <c r="Z104" s="8"/>
    </row>
    <row r="105" ht="15.7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8"/>
      <c r="W105" s="8"/>
      <c r="X105" s="8"/>
      <c r="Y105" s="8"/>
      <c r="Z105" s="8"/>
    </row>
    <row r="106" ht="15.7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8"/>
      <c r="W106" s="8"/>
      <c r="X106" s="8"/>
      <c r="Y106" s="8"/>
      <c r="Z106" s="8"/>
    </row>
    <row r="107" ht="15.7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8"/>
      <c r="W107" s="8"/>
      <c r="X107" s="8"/>
      <c r="Y107" s="8"/>
      <c r="Z107" s="8"/>
    </row>
    <row r="108" ht="15.7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8"/>
      <c r="W108" s="8"/>
      <c r="X108" s="8"/>
      <c r="Y108" s="8"/>
      <c r="Z108" s="8"/>
    </row>
    <row r="109" ht="15.7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8"/>
      <c r="W109" s="8"/>
      <c r="X109" s="8"/>
      <c r="Y109" s="8"/>
      <c r="Z109" s="8"/>
    </row>
    <row r="110" ht="15.7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8"/>
      <c r="W110" s="8"/>
      <c r="X110" s="8"/>
      <c r="Y110" s="8"/>
      <c r="Z110" s="8"/>
    </row>
    <row r="111" ht="15.7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8"/>
      <c r="W111" s="8"/>
      <c r="X111" s="8"/>
      <c r="Y111" s="8"/>
      <c r="Z111" s="8"/>
    </row>
    <row r="112" ht="15.7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8"/>
      <c r="W112" s="8"/>
      <c r="X112" s="8"/>
      <c r="Y112" s="8"/>
      <c r="Z112" s="8"/>
    </row>
    <row r="113" ht="15.7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8"/>
      <c r="W113" s="8"/>
      <c r="X113" s="8"/>
      <c r="Y113" s="8"/>
      <c r="Z113" s="8"/>
    </row>
    <row r="114" ht="15.7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8"/>
      <c r="W114" s="8"/>
      <c r="X114" s="8"/>
      <c r="Y114" s="8"/>
      <c r="Z114" s="8"/>
    </row>
    <row r="115" ht="15.7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8"/>
      <c r="W115" s="8"/>
      <c r="X115" s="8"/>
      <c r="Y115" s="8"/>
      <c r="Z115" s="8"/>
    </row>
    <row r="116" ht="15.7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8"/>
      <c r="W116" s="8"/>
      <c r="X116" s="8"/>
      <c r="Y116" s="8"/>
      <c r="Z116" s="8"/>
    </row>
    <row r="117" ht="15.7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8"/>
      <c r="W117" s="8"/>
      <c r="X117" s="8"/>
      <c r="Y117" s="8"/>
      <c r="Z117" s="8"/>
    </row>
    <row r="118" ht="15.7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8"/>
      <c r="W118" s="8"/>
      <c r="X118" s="8"/>
      <c r="Y118" s="8"/>
      <c r="Z118" s="8"/>
    </row>
    <row r="119" ht="15.7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8"/>
      <c r="W119" s="8"/>
      <c r="X119" s="8"/>
      <c r="Y119" s="8"/>
      <c r="Z119" s="8"/>
    </row>
    <row r="120" ht="15.7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8"/>
      <c r="W120" s="8"/>
      <c r="X120" s="8"/>
      <c r="Y120" s="8"/>
      <c r="Z120" s="8"/>
    </row>
    <row r="121" ht="15.7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8"/>
      <c r="W121" s="8"/>
      <c r="X121" s="8"/>
      <c r="Y121" s="8"/>
      <c r="Z121" s="8"/>
    </row>
    <row r="122" ht="15.7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8"/>
      <c r="W122" s="8"/>
      <c r="X122" s="8"/>
      <c r="Y122" s="8"/>
      <c r="Z122" s="8"/>
    </row>
    <row r="123" ht="15.7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8"/>
      <c r="W123" s="8"/>
      <c r="X123" s="8"/>
      <c r="Y123" s="8"/>
      <c r="Z123" s="8"/>
    </row>
    <row r="124" ht="15.7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8"/>
      <c r="W124" s="8"/>
      <c r="X124" s="8"/>
      <c r="Y124" s="8"/>
      <c r="Z124" s="8"/>
    </row>
    <row r="125" ht="15.7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8"/>
      <c r="W125" s="8"/>
      <c r="X125" s="8"/>
      <c r="Y125" s="8"/>
      <c r="Z125" s="8"/>
    </row>
    <row r="126" ht="15.7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8"/>
      <c r="W126" s="8"/>
      <c r="X126" s="8"/>
      <c r="Y126" s="8"/>
      <c r="Z126" s="8"/>
    </row>
    <row r="127" ht="15.7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8"/>
      <c r="W127" s="8"/>
      <c r="X127" s="8"/>
      <c r="Y127" s="8"/>
      <c r="Z127" s="8"/>
    </row>
    <row r="128" ht="15.7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8"/>
      <c r="W128" s="8"/>
      <c r="X128" s="8"/>
      <c r="Y128" s="8"/>
      <c r="Z128" s="8"/>
    </row>
    <row r="129" ht="15.7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8"/>
      <c r="W129" s="8"/>
      <c r="X129" s="8"/>
      <c r="Y129" s="8"/>
      <c r="Z129" s="8"/>
    </row>
    <row r="130" ht="15.7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8"/>
      <c r="W130" s="8"/>
      <c r="X130" s="8"/>
      <c r="Y130" s="8"/>
      <c r="Z130" s="8"/>
    </row>
    <row r="131" ht="15.7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8"/>
      <c r="W131" s="8"/>
      <c r="X131" s="8"/>
      <c r="Y131" s="8"/>
      <c r="Z131" s="8"/>
    </row>
    <row r="132" ht="15.7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8"/>
      <c r="W132" s="8"/>
      <c r="X132" s="8"/>
      <c r="Y132" s="8"/>
      <c r="Z132" s="8"/>
    </row>
    <row r="133" ht="15.7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8"/>
      <c r="W133" s="8"/>
      <c r="X133" s="8"/>
      <c r="Y133" s="8"/>
      <c r="Z133" s="8"/>
    </row>
    <row r="134" ht="15.7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8"/>
      <c r="W134" s="8"/>
      <c r="X134" s="8"/>
      <c r="Y134" s="8"/>
      <c r="Z134" s="8"/>
    </row>
    <row r="135" ht="15.7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8"/>
      <c r="W135" s="8"/>
      <c r="X135" s="8"/>
      <c r="Y135" s="8"/>
      <c r="Z135" s="8"/>
    </row>
    <row r="136" ht="15.7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8"/>
      <c r="W136" s="8"/>
      <c r="X136" s="8"/>
      <c r="Y136" s="8"/>
      <c r="Z136" s="8"/>
    </row>
    <row r="137" ht="15.7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8"/>
      <c r="W137" s="8"/>
      <c r="X137" s="8"/>
      <c r="Y137" s="8"/>
      <c r="Z137" s="8"/>
    </row>
    <row r="138" ht="15.7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8"/>
      <c r="W138" s="8"/>
      <c r="X138" s="8"/>
      <c r="Y138" s="8"/>
      <c r="Z138" s="8"/>
    </row>
    <row r="139" ht="15.7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8"/>
      <c r="W139" s="8"/>
      <c r="X139" s="8"/>
      <c r="Y139" s="8"/>
      <c r="Z139" s="8"/>
    </row>
    <row r="140" ht="15.7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8"/>
      <c r="W140" s="8"/>
      <c r="X140" s="8"/>
      <c r="Y140" s="8"/>
      <c r="Z140" s="8"/>
    </row>
    <row r="141" ht="15.7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8"/>
      <c r="W141" s="8"/>
      <c r="X141" s="8"/>
      <c r="Y141" s="8"/>
      <c r="Z141" s="8"/>
    </row>
    <row r="142" ht="15.7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8"/>
      <c r="W142" s="8"/>
      <c r="X142" s="8"/>
      <c r="Y142" s="8"/>
      <c r="Z142" s="8"/>
    </row>
    <row r="143" ht="15.7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8"/>
      <c r="W143" s="8"/>
      <c r="X143" s="8"/>
      <c r="Y143" s="8"/>
      <c r="Z143" s="8"/>
    </row>
    <row r="144" ht="15.7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8"/>
      <c r="W144" s="8"/>
      <c r="X144" s="8"/>
      <c r="Y144" s="8"/>
      <c r="Z144" s="8"/>
    </row>
    <row r="145" ht="15.7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8"/>
      <c r="W145" s="8"/>
      <c r="X145" s="8"/>
      <c r="Y145" s="8"/>
      <c r="Z145" s="8"/>
    </row>
    <row r="146" ht="15.7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8"/>
      <c r="W146" s="8"/>
      <c r="X146" s="8"/>
      <c r="Y146" s="8"/>
      <c r="Z146" s="8"/>
    </row>
    <row r="147" ht="15.7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8"/>
      <c r="W147" s="8"/>
      <c r="X147" s="8"/>
      <c r="Y147" s="8"/>
      <c r="Z147" s="8"/>
    </row>
    <row r="148" ht="15.7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8"/>
      <c r="W148" s="8"/>
      <c r="X148" s="8"/>
      <c r="Y148" s="8"/>
      <c r="Z148" s="8"/>
    </row>
    <row r="149" ht="15.7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8"/>
      <c r="W149" s="8"/>
      <c r="X149" s="8"/>
      <c r="Y149" s="8"/>
      <c r="Z149" s="8"/>
    </row>
    <row r="150" ht="15.7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8"/>
      <c r="W150" s="8"/>
      <c r="X150" s="8"/>
      <c r="Y150" s="8"/>
      <c r="Z150" s="8"/>
    </row>
    <row r="151" ht="15.7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8"/>
      <c r="W151" s="8"/>
      <c r="X151" s="8"/>
      <c r="Y151" s="8"/>
      <c r="Z151" s="8"/>
    </row>
    <row r="152" ht="15.7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8"/>
      <c r="W152" s="8"/>
      <c r="X152" s="8"/>
      <c r="Y152" s="8"/>
      <c r="Z152" s="8"/>
    </row>
    <row r="153" ht="15.7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8"/>
      <c r="W153" s="8"/>
      <c r="X153" s="8"/>
      <c r="Y153" s="8"/>
      <c r="Z153" s="8"/>
    </row>
    <row r="154" ht="15.7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8"/>
      <c r="W154" s="8"/>
      <c r="X154" s="8"/>
      <c r="Y154" s="8"/>
      <c r="Z154" s="8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8"/>
      <c r="W155" s="8"/>
      <c r="X155" s="8"/>
      <c r="Y155" s="8"/>
      <c r="Z155" s="8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8"/>
      <c r="W156" s="8"/>
      <c r="X156" s="8"/>
      <c r="Y156" s="8"/>
      <c r="Z156" s="8"/>
    </row>
    <row r="157" ht="15.7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8"/>
      <c r="W157" s="8"/>
      <c r="X157" s="8"/>
      <c r="Y157" s="8"/>
      <c r="Z157" s="8"/>
    </row>
    <row r="158" ht="15.7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8"/>
      <c r="W158" s="8"/>
      <c r="X158" s="8"/>
      <c r="Y158" s="8"/>
      <c r="Z158" s="8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8"/>
      <c r="W159" s="8"/>
      <c r="X159" s="8"/>
      <c r="Y159" s="8"/>
      <c r="Z159" s="8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8"/>
      <c r="W160" s="8"/>
      <c r="X160" s="8"/>
      <c r="Y160" s="8"/>
      <c r="Z160" s="8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8"/>
      <c r="W161" s="8"/>
      <c r="X161" s="8"/>
      <c r="Y161" s="8"/>
      <c r="Z161" s="8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8"/>
      <c r="W162" s="8"/>
      <c r="X162" s="8"/>
      <c r="Y162" s="8"/>
      <c r="Z162" s="8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8"/>
      <c r="W163" s="8"/>
      <c r="X163" s="8"/>
      <c r="Y163" s="8"/>
      <c r="Z163" s="8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8"/>
      <c r="W164" s="8"/>
      <c r="X164" s="8"/>
      <c r="Y164" s="8"/>
      <c r="Z164" s="8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8"/>
      <c r="W165" s="8"/>
      <c r="X165" s="8"/>
      <c r="Y165" s="8"/>
      <c r="Z165" s="8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8"/>
      <c r="W166" s="8"/>
      <c r="X166" s="8"/>
      <c r="Y166" s="8"/>
      <c r="Z166" s="8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8"/>
      <c r="W167" s="8"/>
      <c r="X167" s="8"/>
      <c r="Y167" s="8"/>
      <c r="Z167" s="8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8"/>
      <c r="W168" s="8"/>
      <c r="X168" s="8"/>
      <c r="Y168" s="8"/>
      <c r="Z168" s="8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8"/>
      <c r="W169" s="8"/>
      <c r="X169" s="8"/>
      <c r="Y169" s="8"/>
      <c r="Z169" s="8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8"/>
      <c r="W170" s="8"/>
      <c r="X170" s="8"/>
      <c r="Y170" s="8"/>
      <c r="Z170" s="8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8"/>
      <c r="W171" s="8"/>
      <c r="X171" s="8"/>
      <c r="Y171" s="8"/>
      <c r="Z171" s="8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8"/>
      <c r="W172" s="8"/>
      <c r="X172" s="8"/>
      <c r="Y172" s="8"/>
      <c r="Z172" s="8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8"/>
      <c r="W173" s="8"/>
      <c r="X173" s="8"/>
      <c r="Y173" s="8"/>
      <c r="Z173" s="8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8"/>
      <c r="W174" s="8"/>
      <c r="X174" s="8"/>
      <c r="Y174" s="8"/>
      <c r="Z174" s="8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8"/>
      <c r="W175" s="8"/>
      <c r="X175" s="8"/>
      <c r="Y175" s="8"/>
      <c r="Z175" s="8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8"/>
      <c r="W176" s="8"/>
      <c r="X176" s="8"/>
      <c r="Y176" s="8"/>
      <c r="Z176" s="8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8"/>
      <c r="W177" s="8"/>
      <c r="X177" s="8"/>
      <c r="Y177" s="8"/>
      <c r="Z177" s="8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8"/>
      <c r="W178" s="8"/>
      <c r="X178" s="8"/>
      <c r="Y178" s="8"/>
      <c r="Z178" s="8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8"/>
      <c r="W179" s="8"/>
      <c r="X179" s="8"/>
      <c r="Y179" s="8"/>
      <c r="Z179" s="8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8"/>
      <c r="W180" s="8"/>
      <c r="X180" s="8"/>
      <c r="Y180" s="8"/>
      <c r="Z180" s="8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8"/>
      <c r="W181" s="8"/>
      <c r="X181" s="8"/>
      <c r="Y181" s="8"/>
      <c r="Z181" s="8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8"/>
      <c r="W182" s="8"/>
      <c r="X182" s="8"/>
      <c r="Y182" s="8"/>
      <c r="Z182" s="8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8"/>
      <c r="W183" s="8"/>
      <c r="X183" s="8"/>
      <c r="Y183" s="8"/>
      <c r="Z183" s="8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8"/>
      <c r="W184" s="8"/>
      <c r="X184" s="8"/>
      <c r="Y184" s="8"/>
      <c r="Z184" s="8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8"/>
      <c r="W185" s="8"/>
      <c r="X185" s="8"/>
      <c r="Y185" s="8"/>
      <c r="Z185" s="8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8"/>
      <c r="W186" s="8"/>
      <c r="X186" s="8"/>
      <c r="Y186" s="8"/>
      <c r="Z186" s="8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8"/>
      <c r="W187" s="8"/>
      <c r="X187" s="8"/>
      <c r="Y187" s="8"/>
      <c r="Z187" s="8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8"/>
      <c r="W188" s="8"/>
      <c r="X188" s="8"/>
      <c r="Y188" s="8"/>
      <c r="Z188" s="8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8"/>
      <c r="W189" s="8"/>
      <c r="X189" s="8"/>
      <c r="Y189" s="8"/>
      <c r="Z189" s="8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8"/>
      <c r="W190" s="8"/>
      <c r="X190" s="8"/>
      <c r="Y190" s="8"/>
      <c r="Z190" s="8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8"/>
      <c r="W191" s="8"/>
      <c r="X191" s="8"/>
      <c r="Y191" s="8"/>
      <c r="Z191" s="8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8"/>
      <c r="W192" s="8"/>
      <c r="X192" s="8"/>
      <c r="Y192" s="8"/>
      <c r="Z192" s="8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8"/>
      <c r="W193" s="8"/>
      <c r="X193" s="8"/>
      <c r="Y193" s="8"/>
      <c r="Z193" s="8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8"/>
      <c r="W194" s="8"/>
      <c r="X194" s="8"/>
      <c r="Y194" s="8"/>
      <c r="Z194" s="8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8"/>
      <c r="W195" s="8"/>
      <c r="X195" s="8"/>
      <c r="Y195" s="8"/>
      <c r="Z195" s="8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8"/>
      <c r="W196" s="8"/>
      <c r="X196" s="8"/>
      <c r="Y196" s="8"/>
      <c r="Z196" s="8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8"/>
      <c r="W197" s="8"/>
      <c r="X197" s="8"/>
      <c r="Y197" s="8"/>
      <c r="Z197" s="8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8"/>
      <c r="W198" s="8"/>
      <c r="X198" s="8"/>
      <c r="Y198" s="8"/>
      <c r="Z198" s="8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8"/>
      <c r="W199" s="8"/>
      <c r="X199" s="8"/>
      <c r="Y199" s="8"/>
      <c r="Z199" s="8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8"/>
      <c r="W200" s="8"/>
      <c r="X200" s="8"/>
      <c r="Y200" s="8"/>
      <c r="Z200" s="8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8"/>
      <c r="W201" s="8"/>
      <c r="X201" s="8"/>
      <c r="Y201" s="8"/>
      <c r="Z201" s="8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8"/>
      <c r="W202" s="8"/>
      <c r="X202" s="8"/>
      <c r="Y202" s="8"/>
      <c r="Z202" s="8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8"/>
      <c r="W203" s="8"/>
      <c r="X203" s="8"/>
      <c r="Y203" s="8"/>
      <c r="Z203" s="8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8"/>
      <c r="W204" s="8"/>
      <c r="X204" s="8"/>
      <c r="Y204" s="8"/>
      <c r="Z204" s="8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8"/>
      <c r="W205" s="8"/>
      <c r="X205" s="8"/>
      <c r="Y205" s="8"/>
      <c r="Z205" s="8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8"/>
      <c r="W206" s="8"/>
      <c r="X206" s="8"/>
      <c r="Y206" s="8"/>
      <c r="Z206" s="8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8"/>
      <c r="W207" s="8"/>
      <c r="X207" s="8"/>
      <c r="Y207" s="8"/>
      <c r="Z207" s="8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8"/>
      <c r="W208" s="8"/>
      <c r="X208" s="8"/>
      <c r="Y208" s="8"/>
      <c r="Z208" s="8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8"/>
      <c r="W209" s="8"/>
      <c r="X209" s="8"/>
      <c r="Y209" s="8"/>
      <c r="Z209" s="8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8"/>
      <c r="W210" s="8"/>
      <c r="X210" s="8"/>
      <c r="Y210" s="8"/>
      <c r="Z210" s="8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8"/>
      <c r="W211" s="8"/>
      <c r="X211" s="8"/>
      <c r="Y211" s="8"/>
      <c r="Z211" s="8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8"/>
      <c r="W212" s="8"/>
      <c r="X212" s="8"/>
      <c r="Y212" s="8"/>
      <c r="Z212" s="8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8"/>
      <c r="W213" s="8"/>
      <c r="X213" s="8"/>
      <c r="Y213" s="8"/>
      <c r="Z213" s="8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8"/>
      <c r="W214" s="8"/>
      <c r="X214" s="8"/>
      <c r="Y214" s="8"/>
      <c r="Z214" s="8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8"/>
      <c r="W215" s="8"/>
      <c r="X215" s="8"/>
      <c r="Y215" s="8"/>
      <c r="Z215" s="8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8"/>
      <c r="W216" s="8"/>
      <c r="X216" s="8"/>
      <c r="Y216" s="8"/>
      <c r="Z216" s="8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8"/>
      <c r="W217" s="8"/>
      <c r="X217" s="8"/>
      <c r="Y217" s="8"/>
      <c r="Z217" s="8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8"/>
      <c r="W218" s="8"/>
      <c r="X218" s="8"/>
      <c r="Y218" s="8"/>
      <c r="Z218" s="8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8"/>
      <c r="W219" s="8"/>
      <c r="X219" s="8"/>
      <c r="Y219" s="8"/>
      <c r="Z219" s="8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8"/>
      <c r="W220" s="8"/>
      <c r="X220" s="8"/>
      <c r="Y220" s="8"/>
      <c r="Z220" s="8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8"/>
      <c r="W221" s="8"/>
      <c r="X221" s="8"/>
      <c r="Y221" s="8"/>
      <c r="Z221" s="8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8"/>
      <c r="W222" s="8"/>
      <c r="X222" s="8"/>
      <c r="Y222" s="8"/>
      <c r="Z222" s="8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8"/>
      <c r="W223" s="8"/>
      <c r="X223" s="8"/>
      <c r="Y223" s="8"/>
      <c r="Z223" s="8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8"/>
      <c r="W224" s="8"/>
      <c r="X224" s="8"/>
      <c r="Y224" s="8"/>
      <c r="Z224" s="8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8"/>
      <c r="W225" s="8"/>
      <c r="X225" s="8"/>
      <c r="Y225" s="8"/>
      <c r="Z225" s="8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8"/>
      <c r="W226" s="8"/>
      <c r="X226" s="8"/>
      <c r="Y226" s="8"/>
      <c r="Z226" s="8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8"/>
      <c r="W227" s="8"/>
      <c r="X227" s="8"/>
      <c r="Y227" s="8"/>
      <c r="Z227" s="8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8"/>
      <c r="W228" s="8"/>
      <c r="X228" s="8"/>
      <c r="Y228" s="8"/>
      <c r="Z228" s="8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8"/>
      <c r="W229" s="8"/>
      <c r="X229" s="8"/>
      <c r="Y229" s="8"/>
      <c r="Z229" s="8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8"/>
      <c r="W230" s="8"/>
      <c r="X230" s="8"/>
      <c r="Y230" s="8"/>
      <c r="Z230" s="8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8"/>
      <c r="W231" s="8"/>
      <c r="X231" s="8"/>
      <c r="Y231" s="8"/>
      <c r="Z231" s="8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8"/>
      <c r="W232" s="8"/>
      <c r="X232" s="8"/>
      <c r="Y232" s="8"/>
      <c r="Z232" s="8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8"/>
      <c r="W233" s="8"/>
      <c r="X233" s="8"/>
      <c r="Y233" s="8"/>
      <c r="Z233" s="8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8"/>
      <c r="W234" s="8"/>
      <c r="X234" s="8"/>
      <c r="Y234" s="8"/>
      <c r="Z234" s="8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8"/>
      <c r="W235" s="8"/>
      <c r="X235" s="8"/>
      <c r="Y235" s="8"/>
      <c r="Z235" s="8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8"/>
      <c r="W236" s="8"/>
      <c r="X236" s="8"/>
      <c r="Y236" s="8"/>
      <c r="Z236" s="8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8"/>
      <c r="W237" s="8"/>
      <c r="X237" s="8"/>
      <c r="Y237" s="8"/>
      <c r="Z237" s="8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8"/>
      <c r="W238" s="8"/>
      <c r="X238" s="8"/>
      <c r="Y238" s="8"/>
      <c r="Z238" s="8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8"/>
      <c r="W239" s="8"/>
      <c r="X239" s="8"/>
      <c r="Y239" s="8"/>
      <c r="Z239" s="8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8"/>
      <c r="W240" s="8"/>
      <c r="X240" s="8"/>
      <c r="Y240" s="8"/>
      <c r="Z240" s="8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8"/>
      <c r="W241" s="8"/>
      <c r="X241" s="8"/>
      <c r="Y241" s="8"/>
      <c r="Z241" s="8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8"/>
      <c r="W242" s="8"/>
      <c r="X242" s="8"/>
      <c r="Y242" s="8"/>
      <c r="Z242" s="8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8"/>
      <c r="W243" s="8"/>
      <c r="X243" s="8"/>
      <c r="Y243" s="8"/>
      <c r="Z243" s="8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8"/>
      <c r="W244" s="8"/>
      <c r="X244" s="8"/>
      <c r="Y244" s="8"/>
      <c r="Z244" s="8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8"/>
      <c r="W245" s="8"/>
      <c r="X245" s="8"/>
      <c r="Y245" s="8"/>
      <c r="Z245" s="8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8"/>
      <c r="W246" s="8"/>
      <c r="X246" s="8"/>
      <c r="Y246" s="8"/>
      <c r="Z246" s="8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8"/>
      <c r="W247" s="8"/>
      <c r="X247" s="8"/>
      <c r="Y247" s="8"/>
      <c r="Z247" s="8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8"/>
      <c r="W248" s="8"/>
      <c r="X248" s="8"/>
      <c r="Y248" s="8"/>
      <c r="Z248" s="8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8"/>
      <c r="W249" s="8"/>
      <c r="X249" s="8"/>
      <c r="Y249" s="8"/>
      <c r="Z249" s="8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8"/>
      <c r="W250" s="8"/>
      <c r="X250" s="8"/>
      <c r="Y250" s="8"/>
      <c r="Z250" s="8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8"/>
      <c r="W251" s="8"/>
      <c r="X251" s="8"/>
      <c r="Y251" s="8"/>
      <c r="Z251" s="8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8"/>
      <c r="W252" s="8"/>
      <c r="X252" s="8"/>
      <c r="Y252" s="8"/>
      <c r="Z252" s="8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8"/>
      <c r="W253" s="8"/>
      <c r="X253" s="8"/>
      <c r="Y253" s="8"/>
      <c r="Z253" s="8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8"/>
      <c r="W254" s="8"/>
      <c r="X254" s="8"/>
      <c r="Y254" s="8"/>
      <c r="Z254" s="8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8"/>
      <c r="W255" s="8"/>
      <c r="X255" s="8"/>
      <c r="Y255" s="8"/>
      <c r="Z255" s="8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8"/>
      <c r="W256" s="8"/>
      <c r="X256" s="8"/>
      <c r="Y256" s="8"/>
      <c r="Z256" s="8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8"/>
      <c r="W257" s="8"/>
      <c r="X257" s="8"/>
      <c r="Y257" s="8"/>
      <c r="Z257" s="8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8"/>
      <c r="W258" s="8"/>
      <c r="X258" s="8"/>
      <c r="Y258" s="8"/>
      <c r="Z258" s="8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8"/>
      <c r="W259" s="8"/>
      <c r="X259" s="8"/>
      <c r="Y259" s="8"/>
      <c r="Z259" s="8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8"/>
      <c r="W260" s="8"/>
      <c r="X260" s="8"/>
      <c r="Y260" s="8"/>
      <c r="Z260" s="8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8"/>
      <c r="W261" s="8"/>
      <c r="X261" s="8"/>
      <c r="Y261" s="8"/>
      <c r="Z261" s="8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8"/>
      <c r="W262" s="8"/>
      <c r="X262" s="8"/>
      <c r="Y262" s="8"/>
      <c r="Z262" s="8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8"/>
      <c r="W263" s="8"/>
      <c r="X263" s="8"/>
      <c r="Y263" s="8"/>
      <c r="Z263" s="8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8"/>
      <c r="W264" s="8"/>
      <c r="X264" s="8"/>
      <c r="Y264" s="8"/>
      <c r="Z264" s="8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8"/>
      <c r="W265" s="8"/>
      <c r="X265" s="8"/>
      <c r="Y265" s="8"/>
      <c r="Z265" s="8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8"/>
      <c r="W266" s="8"/>
      <c r="X266" s="8"/>
      <c r="Y266" s="8"/>
      <c r="Z266" s="8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60"/>
      <c r="B1" s="261" t="s">
        <v>172</v>
      </c>
      <c r="U1" s="260"/>
      <c r="V1" s="8"/>
      <c r="W1" s="8"/>
      <c r="X1" s="8"/>
      <c r="Y1" s="8"/>
      <c r="Z1" s="8"/>
    </row>
    <row r="2">
      <c r="A2" s="260"/>
      <c r="B2" s="262" t="s">
        <v>173</v>
      </c>
      <c r="U2" s="260"/>
      <c r="V2" s="8"/>
      <c r="W2" s="8"/>
      <c r="X2" s="8"/>
      <c r="Y2" s="8"/>
      <c r="Z2" s="8"/>
    </row>
    <row r="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8"/>
      <c r="W3" s="8"/>
      <c r="X3" s="8"/>
      <c r="Y3" s="8"/>
      <c r="Z3" s="8"/>
    </row>
    <row r="4">
      <c r="A4" s="260"/>
      <c r="B4" s="260" t="s">
        <v>174</v>
      </c>
      <c r="C4" s="260"/>
      <c r="D4" s="260" t="s">
        <v>6</v>
      </c>
      <c r="E4" s="260"/>
      <c r="F4" s="260"/>
      <c r="G4" s="260"/>
      <c r="H4" s="260"/>
      <c r="I4" s="260"/>
      <c r="J4" s="260"/>
      <c r="K4" s="260"/>
      <c r="L4" s="260"/>
      <c r="M4" s="260" t="s">
        <v>175</v>
      </c>
      <c r="N4" s="260"/>
      <c r="O4" s="260"/>
      <c r="P4" s="260"/>
      <c r="Q4" s="260"/>
      <c r="R4" s="260"/>
      <c r="S4" s="260"/>
      <c r="T4" s="260"/>
      <c r="U4" s="260"/>
      <c r="V4" s="8"/>
      <c r="W4" s="8"/>
      <c r="X4" s="8"/>
      <c r="Y4" s="8"/>
      <c r="Z4" s="8"/>
    </row>
    <row r="5">
      <c r="A5" s="260"/>
      <c r="B5" s="260" t="s">
        <v>176</v>
      </c>
      <c r="C5" s="260"/>
      <c r="D5" s="260" t="s">
        <v>6</v>
      </c>
      <c r="E5" s="260"/>
      <c r="F5" s="260"/>
      <c r="G5" s="260"/>
      <c r="H5" s="260"/>
      <c r="I5" s="260"/>
      <c r="J5" s="260"/>
      <c r="K5" s="260"/>
      <c r="L5" s="260"/>
      <c r="M5" s="260" t="s">
        <v>177</v>
      </c>
      <c r="N5" s="260"/>
      <c r="O5" s="260"/>
      <c r="P5" s="260"/>
      <c r="Q5" s="260"/>
      <c r="R5" s="260"/>
      <c r="S5" s="260"/>
      <c r="T5" s="260"/>
      <c r="U5" s="260"/>
      <c r="V5" s="8"/>
      <c r="W5" s="8"/>
      <c r="X5" s="8"/>
      <c r="Y5" s="8"/>
      <c r="Z5" s="8"/>
    </row>
    <row r="6">
      <c r="A6" s="260"/>
      <c r="B6" s="260" t="s">
        <v>178</v>
      </c>
      <c r="C6" s="260"/>
      <c r="D6" s="260" t="s">
        <v>6</v>
      </c>
      <c r="E6" s="260"/>
      <c r="F6" s="260"/>
      <c r="G6" s="260"/>
      <c r="H6" s="260"/>
      <c r="I6" s="260"/>
      <c r="J6" s="260"/>
      <c r="K6" s="260"/>
      <c r="L6" s="260"/>
      <c r="M6" s="260" t="s">
        <v>179</v>
      </c>
      <c r="N6" s="260"/>
      <c r="O6" s="260"/>
      <c r="P6" s="260"/>
      <c r="Q6" s="260"/>
      <c r="R6" s="260"/>
      <c r="S6" s="260"/>
      <c r="T6" s="260"/>
      <c r="U6" s="260"/>
      <c r="V6" s="8"/>
      <c r="W6" s="8"/>
      <c r="X6" s="8"/>
      <c r="Y6" s="8"/>
      <c r="Z6" s="8"/>
    </row>
    <row r="7">
      <c r="A7" s="260"/>
      <c r="B7" s="260" t="s">
        <v>180</v>
      </c>
      <c r="C7" s="260"/>
      <c r="D7" s="260" t="s">
        <v>6</v>
      </c>
      <c r="E7" s="260"/>
      <c r="F7" s="260"/>
      <c r="G7" s="260"/>
      <c r="H7" s="260"/>
      <c r="I7" s="260"/>
      <c r="J7" s="260"/>
      <c r="K7" s="260"/>
      <c r="L7" s="260"/>
      <c r="M7" s="8"/>
      <c r="N7" s="260"/>
      <c r="O7" s="260"/>
      <c r="P7" s="260"/>
      <c r="Q7" s="260"/>
      <c r="R7" s="260"/>
      <c r="S7" s="263"/>
      <c r="U7" s="260"/>
      <c r="V7" s="8"/>
      <c r="W7" s="8"/>
      <c r="X7" s="8"/>
      <c r="Y7" s="8"/>
      <c r="Z7" s="8"/>
    </row>
    <row r="8">
      <c r="A8" s="260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4"/>
      <c r="U8" s="260"/>
      <c r="V8" s="8"/>
      <c r="W8" s="8"/>
      <c r="X8" s="8"/>
      <c r="Y8" s="8"/>
      <c r="Z8" s="8"/>
    </row>
    <row r="9">
      <c r="A9" s="260"/>
      <c r="B9" s="265" t="s">
        <v>181</v>
      </c>
      <c r="C9" s="266" t="s">
        <v>182</v>
      </c>
      <c r="D9" s="5"/>
      <c r="E9" s="23"/>
      <c r="F9" s="267" t="s">
        <v>183</v>
      </c>
      <c r="G9" s="37"/>
      <c r="H9" s="37"/>
      <c r="I9" s="37"/>
      <c r="J9" s="37"/>
      <c r="K9" s="38"/>
      <c r="L9" s="267" t="s">
        <v>184</v>
      </c>
      <c r="M9" s="37"/>
      <c r="N9" s="37"/>
      <c r="O9" s="37"/>
      <c r="P9" s="37"/>
      <c r="Q9" s="37"/>
      <c r="R9" s="37"/>
      <c r="S9" s="38"/>
      <c r="T9" s="265" t="s">
        <v>185</v>
      </c>
      <c r="U9" s="260"/>
      <c r="V9" s="8"/>
      <c r="W9" s="8"/>
      <c r="X9" s="8"/>
      <c r="Y9" s="8"/>
      <c r="Z9" s="8"/>
    </row>
    <row r="10">
      <c r="A10" s="260"/>
      <c r="B10" s="12"/>
      <c r="C10" s="135"/>
      <c r="E10" s="109"/>
      <c r="F10" s="268" t="s">
        <v>186</v>
      </c>
      <c r="G10" s="268" t="s">
        <v>187</v>
      </c>
      <c r="H10" s="268" t="s">
        <v>188</v>
      </c>
      <c r="I10" s="269" t="s">
        <v>189</v>
      </c>
      <c r="J10" s="23"/>
      <c r="K10" s="268" t="s">
        <v>190</v>
      </c>
      <c r="L10" s="265" t="s">
        <v>191</v>
      </c>
      <c r="M10" s="265" t="s">
        <v>192</v>
      </c>
      <c r="N10" s="267" t="s">
        <v>193</v>
      </c>
      <c r="O10" s="37"/>
      <c r="P10" s="37"/>
      <c r="Q10" s="37"/>
      <c r="R10" s="37"/>
      <c r="S10" s="38"/>
      <c r="T10" s="12"/>
      <c r="U10" s="270"/>
      <c r="V10" s="8"/>
      <c r="W10" s="8"/>
      <c r="X10" s="8"/>
      <c r="Y10" s="8"/>
      <c r="Z10" s="8"/>
    </row>
    <row r="11">
      <c r="A11" s="260"/>
      <c r="B11" s="12"/>
      <c r="C11" s="135"/>
      <c r="E11" s="109"/>
      <c r="F11" s="12"/>
      <c r="G11" s="12"/>
      <c r="H11" s="12"/>
      <c r="I11" s="135"/>
      <c r="J11" s="109"/>
      <c r="K11" s="12"/>
      <c r="L11" s="12"/>
      <c r="M11" s="12"/>
      <c r="N11" s="267" t="s">
        <v>194</v>
      </c>
      <c r="O11" s="37"/>
      <c r="P11" s="38"/>
      <c r="Q11" s="267" t="s">
        <v>195</v>
      </c>
      <c r="R11" s="37"/>
      <c r="S11" s="38"/>
      <c r="T11" s="12"/>
      <c r="U11" s="270"/>
      <c r="V11" s="8"/>
      <c r="W11" s="8"/>
      <c r="X11" s="8"/>
      <c r="Y11" s="8"/>
      <c r="Z11" s="8"/>
    </row>
    <row r="12">
      <c r="A12" s="260"/>
      <c r="B12" s="18"/>
      <c r="C12" s="49"/>
      <c r="D12" s="11"/>
      <c r="E12" s="50"/>
      <c r="F12" s="18"/>
      <c r="G12" s="18"/>
      <c r="H12" s="18"/>
      <c r="I12" s="49"/>
      <c r="J12" s="50"/>
      <c r="K12" s="18"/>
      <c r="L12" s="18"/>
      <c r="M12" s="18"/>
      <c r="N12" s="271" t="s">
        <v>196</v>
      </c>
      <c r="O12" s="271" t="s">
        <v>197</v>
      </c>
      <c r="P12" s="271" t="s">
        <v>198</v>
      </c>
      <c r="Q12" s="271" t="s">
        <v>196</v>
      </c>
      <c r="R12" s="271" t="s">
        <v>199</v>
      </c>
      <c r="S12" s="271" t="s">
        <v>200</v>
      </c>
      <c r="T12" s="18"/>
      <c r="U12" s="260"/>
      <c r="V12" s="8"/>
      <c r="W12" s="8"/>
      <c r="X12" s="8"/>
      <c r="Y12" s="8"/>
      <c r="Z12" s="8"/>
    </row>
    <row r="13">
      <c r="A13" s="260"/>
      <c r="B13" s="272" t="s">
        <v>201</v>
      </c>
      <c r="C13" s="273" t="s">
        <v>202</v>
      </c>
      <c r="D13" s="37"/>
      <c r="E13" s="38"/>
      <c r="F13" s="272" t="s">
        <v>203</v>
      </c>
      <c r="G13" s="272" t="s">
        <v>204</v>
      </c>
      <c r="H13" s="272" t="s">
        <v>205</v>
      </c>
      <c r="I13" s="273" t="s">
        <v>206</v>
      </c>
      <c r="J13" s="38"/>
      <c r="K13" s="272" t="s">
        <v>207</v>
      </c>
      <c r="L13" s="272" t="s">
        <v>208</v>
      </c>
      <c r="M13" s="272" t="s">
        <v>209</v>
      </c>
      <c r="N13" s="272" t="s">
        <v>210</v>
      </c>
      <c r="O13" s="272" t="s">
        <v>211</v>
      </c>
      <c r="P13" s="272" t="s">
        <v>212</v>
      </c>
      <c r="Q13" s="272" t="s">
        <v>213</v>
      </c>
      <c r="R13" s="272" t="s">
        <v>214</v>
      </c>
      <c r="S13" s="272" t="s">
        <v>215</v>
      </c>
      <c r="T13" s="272" t="s">
        <v>216</v>
      </c>
      <c r="U13" s="260"/>
      <c r="V13" s="8"/>
      <c r="W13" s="8"/>
      <c r="X13" s="8"/>
      <c r="Y13" s="8"/>
      <c r="Z13" s="8"/>
    </row>
    <row r="14">
      <c r="A14" s="274"/>
      <c r="B14" s="275">
        <f>DPA!B31</f>
        <v>5</v>
      </c>
      <c r="C14" s="275" t="str">
        <f>DPA!C31</f>
        <v>BELANJA DAERAH</v>
      </c>
      <c r="D14" s="275"/>
      <c r="E14" s="275"/>
      <c r="F14" s="275"/>
      <c r="G14" s="275"/>
      <c r="H14" s="275"/>
      <c r="I14" s="275"/>
      <c r="J14" s="275"/>
      <c r="K14" s="276">
        <f>DPA!S31</f>
        <v>94371800</v>
      </c>
      <c r="L14" s="277"/>
      <c r="M14" s="277">
        <f t="shared" ref="M14:M15" si="1">K14</f>
        <v>94371800</v>
      </c>
      <c r="N14" s="278"/>
      <c r="O14" s="278"/>
      <c r="P14" s="278"/>
      <c r="Q14" s="278"/>
      <c r="R14" s="277"/>
      <c r="S14" s="277"/>
      <c r="T14" s="277"/>
      <c r="U14" s="279"/>
      <c r="V14" s="72"/>
      <c r="W14" s="72"/>
      <c r="X14" s="72"/>
      <c r="Y14" s="72"/>
      <c r="Z14" s="72"/>
    </row>
    <row r="15">
      <c r="A15" s="274"/>
      <c r="B15" s="275" t="str">
        <f>DPA!B32</f>
        <v>5.1</v>
      </c>
      <c r="C15" s="275" t="str">
        <f>DPA!C32</f>
        <v>BELANJA OPERASI</v>
      </c>
      <c r="D15" s="275"/>
      <c r="E15" s="275"/>
      <c r="F15" s="277"/>
      <c r="G15" s="280"/>
      <c r="H15" s="280"/>
      <c r="I15" s="280"/>
      <c r="J15" s="280"/>
      <c r="K15" s="276">
        <f>DPA!S32</f>
        <v>32999400</v>
      </c>
      <c r="L15" s="277"/>
      <c r="M15" s="277">
        <f t="shared" si="1"/>
        <v>32999400</v>
      </c>
      <c r="N15" s="278"/>
      <c r="O15" s="278"/>
      <c r="P15" s="278"/>
      <c r="Q15" s="278"/>
      <c r="R15" s="277"/>
      <c r="S15" s="277"/>
      <c r="T15" s="277"/>
      <c r="U15" s="279"/>
      <c r="V15" s="72"/>
      <c r="W15" s="72"/>
      <c r="X15" s="72"/>
      <c r="Y15" s="72"/>
      <c r="Z15" s="72"/>
    </row>
    <row r="16">
      <c r="A16" s="274"/>
      <c r="B16" s="275"/>
      <c r="C16" s="275"/>
      <c r="D16" s="275"/>
      <c r="E16" s="275"/>
      <c r="F16" s="277"/>
      <c r="G16" s="280"/>
      <c r="H16" s="280"/>
      <c r="I16" s="280"/>
      <c r="J16" s="280"/>
      <c r="K16" s="276"/>
      <c r="L16" s="277"/>
      <c r="M16" s="277"/>
      <c r="N16" s="278"/>
      <c r="O16" s="278"/>
      <c r="P16" s="278"/>
      <c r="Q16" s="278"/>
      <c r="R16" s="277"/>
      <c r="S16" s="277"/>
      <c r="T16" s="277"/>
      <c r="U16" s="279"/>
      <c r="V16" s="72"/>
      <c r="W16" s="72"/>
      <c r="X16" s="72"/>
      <c r="Y16" s="72"/>
      <c r="Z16" s="72"/>
    </row>
    <row r="17">
      <c r="A17" s="274"/>
      <c r="B17" s="275" t="str">
        <f>DPA!B34</f>
        <v> 5.2.2.</v>
      </c>
      <c r="C17" s="275" t="str">
        <f>DPA!C34</f>
        <v> Belanja Barang dan Jasa</v>
      </c>
      <c r="D17" s="275"/>
      <c r="E17" s="275"/>
      <c r="F17" s="277"/>
      <c r="G17" s="280"/>
      <c r="H17" s="280"/>
      <c r="I17" s="280"/>
      <c r="J17" s="280"/>
      <c r="K17" s="276">
        <f>DPA!S34</f>
        <v>32999400</v>
      </c>
      <c r="L17" s="277"/>
      <c r="M17" s="277">
        <f>K17</f>
        <v>32999400</v>
      </c>
      <c r="N17" s="278"/>
      <c r="O17" s="278"/>
      <c r="P17" s="278"/>
      <c r="Q17" s="278"/>
      <c r="R17" s="185"/>
      <c r="S17" s="185"/>
      <c r="T17" s="277"/>
      <c r="U17" s="279"/>
      <c r="V17" s="72"/>
      <c r="W17" s="72"/>
      <c r="X17" s="72"/>
      <c r="Y17" s="72"/>
      <c r="Z17" s="72"/>
    </row>
    <row r="18">
      <c r="A18" s="274"/>
      <c r="B18" s="275"/>
      <c r="C18" s="275"/>
      <c r="D18" s="275"/>
      <c r="E18" s="275"/>
      <c r="F18" s="277"/>
      <c r="G18" s="280"/>
      <c r="H18" s="280"/>
      <c r="I18" s="280"/>
      <c r="J18" s="280"/>
      <c r="K18" s="276"/>
      <c r="L18" s="277"/>
      <c r="M18" s="277"/>
      <c r="N18" s="278"/>
      <c r="O18" s="278"/>
      <c r="P18" s="278"/>
      <c r="Q18" s="278"/>
      <c r="R18" s="277"/>
      <c r="S18" s="278"/>
      <c r="T18" s="277"/>
      <c r="U18" s="279"/>
      <c r="V18" s="72"/>
      <c r="W18" s="72"/>
      <c r="X18" s="72"/>
      <c r="Y18" s="72"/>
      <c r="Z18" s="72"/>
    </row>
    <row r="19">
      <c r="A19" s="274"/>
      <c r="B19" s="275" t="str">
        <f>DPA!B36</f>
        <v> 5.2.2.01</v>
      </c>
      <c r="C19" s="275" t="str">
        <f>DPA!C36</f>
        <v>Belanja Bahan Pakai Habis</v>
      </c>
      <c r="D19" s="275"/>
      <c r="E19" s="275"/>
      <c r="F19" s="277"/>
      <c r="G19" s="280"/>
      <c r="H19" s="280"/>
      <c r="I19" s="280"/>
      <c r="J19" s="280"/>
      <c r="K19" s="276">
        <f>DPA!S36</f>
        <v>1791400</v>
      </c>
      <c r="L19" s="277"/>
      <c r="M19" s="277">
        <f>K19</f>
        <v>1791400</v>
      </c>
      <c r="N19" s="278"/>
      <c r="O19" s="278"/>
      <c r="P19" s="278"/>
      <c r="Q19" s="278"/>
      <c r="R19" s="277"/>
      <c r="S19" s="278"/>
      <c r="T19" s="277"/>
      <c r="U19" s="279"/>
      <c r="V19" s="72"/>
      <c r="W19" s="72"/>
      <c r="X19" s="72"/>
      <c r="Y19" s="72"/>
      <c r="Z19" s="72"/>
    </row>
    <row r="20">
      <c r="A20" s="260"/>
      <c r="B20" s="275"/>
      <c r="C20" s="275"/>
      <c r="D20" s="275"/>
      <c r="E20" s="275"/>
      <c r="F20" s="281"/>
      <c r="G20" s="282"/>
      <c r="H20" s="282"/>
      <c r="I20" s="282"/>
      <c r="J20" s="282"/>
      <c r="K20" s="276"/>
      <c r="L20" s="281"/>
      <c r="M20" s="277"/>
      <c r="N20" s="283"/>
      <c r="O20" s="283"/>
      <c r="P20" s="278"/>
      <c r="Q20" s="283"/>
      <c r="R20" s="277"/>
      <c r="S20" s="278"/>
      <c r="T20" s="277"/>
      <c r="U20" s="270"/>
      <c r="V20" s="8"/>
      <c r="W20" s="8"/>
      <c r="X20" s="8"/>
      <c r="Y20" s="8"/>
      <c r="Z20" s="8"/>
    </row>
    <row r="21" ht="15.75" customHeight="1">
      <c r="A21" s="260"/>
      <c r="B21" s="275" t="str">
        <f>DPA!B38</f>
        <v>5.1.02.01.01.0024</v>
      </c>
      <c r="C21" s="275" t="str">
        <f>DPA!C38</f>
        <v>Belanja Alat/Bahan untuk Kegiatan Kantor-Alat Tulis Kantor</v>
      </c>
      <c r="D21" s="275"/>
      <c r="E21" s="275"/>
      <c r="F21" s="281"/>
      <c r="G21" s="282"/>
      <c r="H21" s="282"/>
      <c r="I21" s="282"/>
      <c r="J21" s="282"/>
      <c r="K21" s="276">
        <f>DPA!S38</f>
        <v>656000</v>
      </c>
      <c r="L21" s="277"/>
      <c r="M21" s="277">
        <f t="shared" ref="M21:M28" si="2">K21</f>
        <v>656000</v>
      </c>
      <c r="N21" s="278"/>
      <c r="O21" s="278"/>
      <c r="P21" s="278"/>
      <c r="Q21" s="278"/>
      <c r="R21" s="277"/>
      <c r="S21" s="278"/>
      <c r="T21" s="277"/>
      <c r="U21" s="270"/>
      <c r="V21" s="8"/>
      <c r="W21" s="8"/>
      <c r="X21" s="8"/>
      <c r="Y21" s="8"/>
      <c r="Z21" s="8"/>
    </row>
    <row r="22" ht="15.75" customHeight="1">
      <c r="A22" s="260"/>
      <c r="B22" s="275"/>
      <c r="C22" s="275"/>
      <c r="D22" s="284" t="str">
        <f>DPA!D39</f>
        <v>-</v>
      </c>
      <c r="E22" s="285" t="str">
        <f>DPA!E39</f>
        <v>Alat Tulis Kantor
Spesifikasi : Stof Map Folio</v>
      </c>
      <c r="F22" s="281"/>
      <c r="G22" s="282"/>
      <c r="H22" s="282"/>
      <c r="I22" s="282"/>
      <c r="J22" s="282"/>
      <c r="K22" s="276">
        <f>DPA!S39</f>
        <v>330000</v>
      </c>
      <c r="L22" s="277"/>
      <c r="M22" s="277">
        <f t="shared" si="2"/>
        <v>330000</v>
      </c>
      <c r="N22" s="278"/>
      <c r="O22" s="278"/>
      <c r="P22" s="278"/>
      <c r="Q22" s="278"/>
      <c r="R22" s="277"/>
      <c r="S22" s="278"/>
      <c r="T22" s="277"/>
      <c r="U22" s="270"/>
      <c r="V22" s="8"/>
      <c r="W22" s="8"/>
      <c r="X22" s="8"/>
      <c r="Y22" s="8"/>
      <c r="Z22" s="8"/>
    </row>
    <row r="23" ht="15.75" customHeight="1">
      <c r="A23" s="260"/>
      <c r="B23" s="275"/>
      <c r="C23" s="275"/>
      <c r="D23" s="284" t="str">
        <f>DPA!D40</f>
        <v>-</v>
      </c>
      <c r="E23" s="285" t="str">
        <f>DPA!E40</f>
        <v>Alat Tulis Kantor
Spesifikasi : Trigonal Clip No. 5 Atom</v>
      </c>
      <c r="F23" s="281"/>
      <c r="G23" s="282"/>
      <c r="H23" s="283"/>
      <c r="I23" s="282"/>
      <c r="J23" s="282"/>
      <c r="K23" s="276">
        <f>DPA!S40</f>
        <v>66000</v>
      </c>
      <c r="L23" s="281"/>
      <c r="M23" s="277">
        <f t="shared" si="2"/>
        <v>66000</v>
      </c>
      <c r="N23" s="283"/>
      <c r="O23" s="283"/>
      <c r="P23" s="283"/>
      <c r="Q23" s="283"/>
      <c r="R23" s="281"/>
      <c r="S23" s="283"/>
      <c r="T23" s="277"/>
      <c r="U23" s="270"/>
      <c r="V23" s="8"/>
      <c r="W23" s="8"/>
      <c r="X23" s="8"/>
      <c r="Y23" s="8"/>
      <c r="Z23" s="8"/>
    </row>
    <row r="24" ht="15.75" customHeight="1">
      <c r="A24" s="260"/>
      <c r="B24" s="275"/>
      <c r="C24" s="275"/>
      <c r="D24" s="284" t="str">
        <f>DPA!D41</f>
        <v>-</v>
      </c>
      <c r="E24" s="285" t="str">
        <f>DPA!E41</f>
        <v>Alat Tulis Kantor
Spesifikasi : Box File Jumbo Bantex</v>
      </c>
      <c r="F24" s="281"/>
      <c r="G24" s="272"/>
      <c r="H24" s="282"/>
      <c r="I24" s="282"/>
      <c r="J24" s="282"/>
      <c r="K24" s="276">
        <f>DPA!S41</f>
        <v>260000</v>
      </c>
      <c r="L24" s="281"/>
      <c r="M24" s="277">
        <f t="shared" si="2"/>
        <v>260000</v>
      </c>
      <c r="N24" s="283"/>
      <c r="O24" s="283"/>
      <c r="P24" s="283"/>
      <c r="Q24" s="283"/>
      <c r="R24" s="281"/>
      <c r="S24" s="283"/>
      <c r="T24" s="277"/>
      <c r="U24" s="260"/>
      <c r="V24" s="8"/>
      <c r="W24" s="8"/>
      <c r="X24" s="8"/>
      <c r="Y24" s="8"/>
      <c r="Z24" s="8"/>
    </row>
    <row r="25" ht="12.75" customHeight="1">
      <c r="A25" s="260"/>
      <c r="B25" s="275"/>
      <c r="C25" s="275"/>
      <c r="D25" s="275"/>
      <c r="E25" s="275"/>
      <c r="F25" s="281"/>
      <c r="G25" s="272"/>
      <c r="H25" s="282"/>
      <c r="I25" s="282"/>
      <c r="J25" s="282"/>
      <c r="K25" s="276" t="str">
        <f>DPA!S42</f>
        <v/>
      </c>
      <c r="L25" s="281"/>
      <c r="M25" s="277" t="str">
        <f t="shared" si="2"/>
        <v/>
      </c>
      <c r="N25" s="283"/>
      <c r="O25" s="283"/>
      <c r="P25" s="283"/>
      <c r="Q25" s="283"/>
      <c r="R25" s="281"/>
      <c r="S25" s="283"/>
      <c r="T25" s="277"/>
      <c r="U25" s="260"/>
      <c r="V25" s="8"/>
      <c r="W25" s="8"/>
      <c r="X25" s="8"/>
      <c r="Y25" s="8"/>
      <c r="Z25" s="8"/>
    </row>
    <row r="26" ht="15.75" customHeight="1">
      <c r="A26" s="260"/>
      <c r="B26" s="275" t="str">
        <f>DPA!B43</f>
        <v>5.1.02.01.01.0025</v>
      </c>
      <c r="C26" s="275" t="str">
        <f>DPA!C43</f>
        <v>Belanja Alat/Bahan untuk Kegiatan Kantor- Kertas dan Cover</v>
      </c>
      <c r="D26" s="275"/>
      <c r="E26" s="275"/>
      <c r="F26" s="281"/>
      <c r="G26" s="272"/>
      <c r="H26" s="282"/>
      <c r="I26" s="282"/>
      <c r="J26" s="282"/>
      <c r="K26" s="276">
        <f>DPA!S43</f>
        <v>441400</v>
      </c>
      <c r="L26" s="281"/>
      <c r="M26" s="277">
        <f t="shared" si="2"/>
        <v>441400</v>
      </c>
      <c r="N26" s="283"/>
      <c r="O26" s="283"/>
      <c r="P26" s="283"/>
      <c r="Q26" s="283"/>
      <c r="R26" s="281"/>
      <c r="S26" s="283"/>
      <c r="T26" s="277"/>
      <c r="U26" s="260"/>
      <c r="V26" s="8"/>
      <c r="W26" s="8"/>
      <c r="X26" s="8"/>
      <c r="Y26" s="8"/>
      <c r="Z26" s="8"/>
    </row>
    <row r="27" ht="15.75" customHeight="1">
      <c r="A27" s="260"/>
      <c r="B27" s="275"/>
      <c r="C27" s="275"/>
      <c r="D27" s="284" t="str">
        <f>DPA!D44</f>
        <v>-</v>
      </c>
      <c r="E27" s="285" t="str">
        <f>DPA!E44</f>
        <v>Kertas dan Cover
Spesifikasi : Kertas HVS A4 70 gr</v>
      </c>
      <c r="F27" s="281"/>
      <c r="G27" s="272"/>
      <c r="H27" s="282"/>
      <c r="I27" s="282"/>
      <c r="J27" s="282"/>
      <c r="K27" s="276">
        <f>DPA!S44</f>
        <v>164800</v>
      </c>
      <c r="L27" s="281"/>
      <c r="M27" s="277">
        <f t="shared" si="2"/>
        <v>164800</v>
      </c>
      <c r="N27" s="283"/>
      <c r="O27" s="283"/>
      <c r="P27" s="283"/>
      <c r="Q27" s="283"/>
      <c r="R27" s="281"/>
      <c r="S27" s="283"/>
      <c r="T27" s="277"/>
      <c r="U27" s="260"/>
      <c r="V27" s="8"/>
      <c r="W27" s="8"/>
      <c r="X27" s="8"/>
      <c r="Y27" s="8"/>
      <c r="Z27" s="8"/>
    </row>
    <row r="28" ht="15.75" customHeight="1">
      <c r="A28" s="260"/>
      <c r="B28" s="275"/>
      <c r="C28" s="275"/>
      <c r="D28" s="284" t="str">
        <f>DPA!D45</f>
        <v>-</v>
      </c>
      <c r="E28" s="285" t="str">
        <f>DPA!E45</f>
        <v>Kertas dan Cover
Spesifikasi : Kertas HVS F4 70 gr</v>
      </c>
      <c r="F28" s="281"/>
      <c r="G28" s="272"/>
      <c r="H28" s="282"/>
      <c r="I28" s="282"/>
      <c r="J28" s="282"/>
      <c r="K28" s="276">
        <f>DPA!S45</f>
        <v>276600</v>
      </c>
      <c r="L28" s="281"/>
      <c r="M28" s="277">
        <f t="shared" si="2"/>
        <v>276600</v>
      </c>
      <c r="N28" s="283"/>
      <c r="O28" s="283"/>
      <c r="P28" s="283"/>
      <c r="Q28" s="283"/>
      <c r="R28" s="281"/>
      <c r="S28" s="283"/>
      <c r="T28" s="277"/>
      <c r="U28" s="260"/>
      <c r="V28" s="8"/>
      <c r="W28" s="8"/>
      <c r="X28" s="8"/>
      <c r="Y28" s="8"/>
      <c r="Z28" s="8"/>
    </row>
    <row r="29" ht="15.75" customHeight="1">
      <c r="A29" s="260"/>
      <c r="B29" s="275"/>
      <c r="C29" s="275"/>
      <c r="D29" s="275"/>
      <c r="E29" s="275"/>
      <c r="F29" s="281"/>
      <c r="G29" s="272"/>
      <c r="H29" s="282"/>
      <c r="I29" s="282"/>
      <c r="J29" s="282"/>
      <c r="K29" s="276"/>
      <c r="L29" s="281"/>
      <c r="M29" s="277"/>
      <c r="N29" s="283"/>
      <c r="O29" s="283"/>
      <c r="P29" s="283"/>
      <c r="Q29" s="283"/>
      <c r="R29" s="281"/>
      <c r="S29" s="283"/>
      <c r="T29" s="277"/>
      <c r="U29" s="260"/>
      <c r="V29" s="8"/>
      <c r="W29" s="8"/>
      <c r="X29" s="8"/>
      <c r="Y29" s="8"/>
      <c r="Z29" s="8"/>
    </row>
    <row r="30" ht="15.75" customHeight="1">
      <c r="A30" s="260"/>
      <c r="B30" s="275" t="str">
        <f>DPA!B47</f>
        <v>5.1.02.01.01.0026</v>
      </c>
      <c r="C30" s="275" t="str">
        <f>DPA!C47</f>
        <v>Belanja Alat/Bahan untuk Kegiatan Kantor- Bahan Cetak</v>
      </c>
      <c r="D30" s="275"/>
      <c r="E30" s="275"/>
      <c r="F30" s="281"/>
      <c r="G30" s="272"/>
      <c r="H30" s="282"/>
      <c r="I30" s="282"/>
      <c r="J30" s="282"/>
      <c r="K30" s="276">
        <f>DPA!S47</f>
        <v>544000</v>
      </c>
      <c r="L30" s="281"/>
      <c r="M30" s="277">
        <f t="shared" ref="M30:M31" si="3">K30</f>
        <v>544000</v>
      </c>
      <c r="N30" s="283"/>
      <c r="O30" s="283"/>
      <c r="P30" s="283"/>
      <c r="Q30" s="283"/>
      <c r="R30" s="281"/>
      <c r="S30" s="283"/>
      <c r="T30" s="277"/>
      <c r="U30" s="260"/>
      <c r="V30" s="8"/>
      <c r="W30" s="8"/>
      <c r="X30" s="8"/>
      <c r="Y30" s="8"/>
      <c r="Z30" s="8"/>
    </row>
    <row r="31" ht="15.75" customHeight="1">
      <c r="A31" s="260"/>
      <c r="B31" s="275"/>
      <c r="C31" s="275"/>
      <c r="D31" s="284" t="str">
        <f>DPA!D48</f>
        <v>-</v>
      </c>
      <c r="E31" s="285" t="str">
        <f>DPA!E48</f>
        <v>Foto Copy
Spesifikasi : Foto copy Hitam Putih-HVS
A4/F4</v>
      </c>
      <c r="F31" s="281"/>
      <c r="G31" s="272"/>
      <c r="H31" s="282"/>
      <c r="I31" s="282"/>
      <c r="J31" s="282"/>
      <c r="K31" s="276">
        <f>DPA!S48</f>
        <v>544000</v>
      </c>
      <c r="L31" s="277"/>
      <c r="M31" s="277">
        <f t="shared" si="3"/>
        <v>544000</v>
      </c>
      <c r="N31" s="278"/>
      <c r="O31" s="278"/>
      <c r="P31" s="278"/>
      <c r="Q31" s="278"/>
      <c r="R31" s="277"/>
      <c r="S31" s="278"/>
      <c r="T31" s="277"/>
      <c r="U31" s="260"/>
      <c r="V31" s="8"/>
      <c r="W31" s="8"/>
      <c r="X31" s="8"/>
      <c r="Y31" s="8"/>
      <c r="Z31" s="8"/>
    </row>
    <row r="32" ht="15.75" customHeight="1">
      <c r="A32" s="260"/>
      <c r="B32" s="275"/>
      <c r="C32" s="275"/>
      <c r="D32" s="275"/>
      <c r="E32" s="275"/>
      <c r="F32" s="281"/>
      <c r="G32" s="272"/>
      <c r="H32" s="282"/>
      <c r="I32" s="282"/>
      <c r="J32" s="282"/>
      <c r="K32" s="276"/>
      <c r="L32" s="281"/>
      <c r="M32" s="277"/>
      <c r="N32" s="283"/>
      <c r="O32" s="283"/>
      <c r="P32" s="283"/>
      <c r="Q32" s="283"/>
      <c r="R32" s="281"/>
      <c r="S32" s="283"/>
      <c r="T32" s="277"/>
      <c r="U32" s="260"/>
      <c r="V32" s="8"/>
      <c r="W32" s="8"/>
      <c r="X32" s="8"/>
      <c r="Y32" s="8"/>
      <c r="Z32" s="8"/>
    </row>
    <row r="33" ht="15.75" customHeight="1">
      <c r="A33" s="260"/>
      <c r="B33" s="275" t="str">
        <f>DPA!B50</f>
        <v>5.1.02.01.01.0027</v>
      </c>
      <c r="C33" s="275" t="str">
        <f>DPA!C50</f>
        <v>Belanja Alat/Bahan untuk Kegiatan Kantor-Benda Pos</v>
      </c>
      <c r="D33" s="275"/>
      <c r="E33" s="275"/>
      <c r="F33" s="281"/>
      <c r="G33" s="272"/>
      <c r="H33" s="282"/>
      <c r="I33" s="282"/>
      <c r="J33" s="282"/>
      <c r="K33" s="276">
        <f>DPA!S50</f>
        <v>150000</v>
      </c>
      <c r="L33" s="281"/>
      <c r="M33" s="277">
        <f t="shared" ref="M33:M34" si="4">K33</f>
        <v>150000</v>
      </c>
      <c r="N33" s="283"/>
      <c r="O33" s="283"/>
      <c r="P33" s="283"/>
      <c r="Q33" s="283"/>
      <c r="R33" s="281"/>
      <c r="S33" s="283"/>
      <c r="T33" s="277"/>
      <c r="U33" s="260"/>
      <c r="V33" s="8"/>
      <c r="W33" s="8"/>
      <c r="X33" s="8"/>
      <c r="Y33" s="8"/>
      <c r="Z33" s="8"/>
    </row>
    <row r="34" ht="15.75" customHeight="1">
      <c r="A34" s="260"/>
      <c r="B34" s="275"/>
      <c r="C34" s="275"/>
      <c r="D34" s="284" t="str">
        <f>DPA!D51</f>
        <v>-</v>
      </c>
      <c r="E34" s="284" t="str">
        <f>DPA!E51</f>
        <v>Materai
Spesifikasi: Materai 10.000</v>
      </c>
      <c r="F34" s="281"/>
      <c r="G34" s="272"/>
      <c r="H34" s="282"/>
      <c r="I34" s="282"/>
      <c r="J34" s="282"/>
      <c r="K34" s="276">
        <f>DPA!S51</f>
        <v>150000</v>
      </c>
      <c r="L34" s="281"/>
      <c r="M34" s="277">
        <f t="shared" si="4"/>
        <v>150000</v>
      </c>
      <c r="N34" s="283"/>
      <c r="O34" s="283"/>
      <c r="P34" s="283"/>
      <c r="Q34" s="283"/>
      <c r="R34" s="281"/>
      <c r="S34" s="283"/>
      <c r="T34" s="277"/>
      <c r="U34" s="260"/>
      <c r="V34" s="8"/>
      <c r="W34" s="8"/>
      <c r="X34" s="8"/>
      <c r="Y34" s="8"/>
      <c r="Z34" s="8"/>
    </row>
    <row r="35" ht="15.75" customHeight="1">
      <c r="A35" s="274"/>
      <c r="B35" s="275"/>
      <c r="C35" s="275"/>
      <c r="D35" s="275"/>
      <c r="E35" s="275"/>
      <c r="F35" s="277"/>
      <c r="G35" s="271"/>
      <c r="H35" s="280"/>
      <c r="I35" s="280"/>
      <c r="J35" s="280"/>
      <c r="K35" s="276"/>
      <c r="L35" s="277"/>
      <c r="M35" s="277"/>
      <c r="N35" s="278"/>
      <c r="O35" s="278"/>
      <c r="P35" s="278"/>
      <c r="Q35" s="278"/>
      <c r="R35" s="277"/>
      <c r="S35" s="278"/>
      <c r="T35" s="277"/>
      <c r="U35" s="274"/>
      <c r="V35" s="72"/>
      <c r="W35" s="72"/>
      <c r="X35" s="72"/>
      <c r="Y35" s="72"/>
      <c r="Z35" s="72"/>
    </row>
    <row r="36" ht="15.75" customHeight="1">
      <c r="A36" s="260"/>
      <c r="B36" s="275" t="str">
        <f>DPA!B53</f>
        <v>5.1.02.04</v>
      </c>
      <c r="C36" s="275" t="str">
        <f>DPA!C53</f>
        <v>Belanja Perjalanan Dinas</v>
      </c>
      <c r="D36" s="275"/>
      <c r="E36" s="275"/>
      <c r="F36" s="281"/>
      <c r="G36" s="272"/>
      <c r="H36" s="282"/>
      <c r="I36" s="282"/>
      <c r="J36" s="282"/>
      <c r="K36" s="276">
        <f>DPA!S53</f>
        <v>31208000</v>
      </c>
      <c r="L36" s="277"/>
      <c r="M36" s="277">
        <f t="shared" ref="M36:M43" si="5">K36</f>
        <v>31208000</v>
      </c>
      <c r="N36" s="278"/>
      <c r="O36" s="278"/>
      <c r="P36" s="278"/>
      <c r="Q36" s="278"/>
      <c r="R36" s="277"/>
      <c r="S36" s="278"/>
      <c r="T36" s="277"/>
      <c r="U36" s="260"/>
      <c r="V36" s="8"/>
      <c r="W36" s="8"/>
      <c r="X36" s="8"/>
      <c r="Y36" s="8"/>
      <c r="Z36" s="8"/>
    </row>
    <row r="37" ht="15.75" hidden="1" customHeight="1">
      <c r="A37" s="260"/>
      <c r="B37" s="275" t="str">
        <f>DPA!B54</f>
        <v>5.1.02.04.01</v>
      </c>
      <c r="C37" s="275" t="str">
        <f>DPA!C54</f>
        <v>Belanja Perjalanan Dinas Dalam Negeri</v>
      </c>
      <c r="D37" s="275" t="str">
        <f>DPA!D54</f>
        <v/>
      </c>
      <c r="E37" s="275" t="str">
        <f>DPA!E54</f>
        <v/>
      </c>
      <c r="F37" s="281"/>
      <c r="G37" s="272"/>
      <c r="H37" s="282"/>
      <c r="I37" s="282"/>
      <c r="J37" s="282"/>
      <c r="K37" s="276">
        <f>DPA!S54</f>
        <v>31208000</v>
      </c>
      <c r="L37" s="281"/>
      <c r="M37" s="277">
        <f t="shared" si="5"/>
        <v>31208000</v>
      </c>
      <c r="N37" s="283"/>
      <c r="O37" s="283"/>
      <c r="P37" s="283"/>
      <c r="Q37" s="283"/>
      <c r="R37" s="281"/>
      <c r="S37" s="283"/>
      <c r="T37" s="277"/>
      <c r="U37" s="260"/>
      <c r="V37" s="8"/>
      <c r="W37" s="8"/>
      <c r="X37" s="8"/>
      <c r="Y37" s="8"/>
      <c r="Z37" s="8"/>
    </row>
    <row r="38" ht="15.75" hidden="1" customHeight="1">
      <c r="A38" s="260"/>
      <c r="B38" s="275" t="str">
        <f>DPA!B55</f>
        <v>5.1.02.04.01.0001</v>
      </c>
      <c r="C38" s="275" t="str">
        <f>DPA!C55</f>
        <v>Belanja Perjalanan Dinas Biasa</v>
      </c>
      <c r="D38" s="275" t="str">
        <f>DPA!D55</f>
        <v/>
      </c>
      <c r="E38" s="275" t="str">
        <f>DPA!E55</f>
        <v/>
      </c>
      <c r="F38" s="281"/>
      <c r="G38" s="272"/>
      <c r="H38" s="282"/>
      <c r="I38" s="282"/>
      <c r="J38" s="282"/>
      <c r="K38" s="276">
        <f>DPA!S55</f>
        <v>31208000</v>
      </c>
      <c r="L38" s="281"/>
      <c r="M38" s="277">
        <f t="shared" si="5"/>
        <v>31208000</v>
      </c>
      <c r="N38" s="283"/>
      <c r="O38" s="283"/>
      <c r="P38" s="283"/>
      <c r="Q38" s="283"/>
      <c r="R38" s="281"/>
      <c r="S38" s="283"/>
      <c r="T38" s="277"/>
      <c r="U38" s="260"/>
      <c r="V38" s="8"/>
      <c r="W38" s="8"/>
      <c r="X38" s="8"/>
      <c r="Y38" s="8"/>
      <c r="Z38" s="8"/>
    </row>
    <row r="39" ht="15.75" customHeight="1">
      <c r="A39" s="260"/>
      <c r="B39" s="275"/>
      <c r="C39" s="275"/>
      <c r="D39" s="284" t="str">
        <f>DPA!D56</f>
        <v>-</v>
      </c>
      <c r="E39" s="285" t="str">
        <f>DPA!E56</f>
        <v>Penginapan Dalam Negeri di- D.K.I. JAKARTA
Spesifikasi: PEJABAT ESELON III / GOLONGAN IV</v>
      </c>
      <c r="F39" s="281"/>
      <c r="G39" s="272"/>
      <c r="H39" s="282"/>
      <c r="I39" s="282"/>
      <c r="J39" s="282"/>
      <c r="K39" s="276">
        <f>DPA!S56</f>
        <v>7936000</v>
      </c>
      <c r="L39" s="281"/>
      <c r="M39" s="277">
        <f t="shared" si="5"/>
        <v>7936000</v>
      </c>
      <c r="N39" s="283"/>
      <c r="O39" s="283"/>
      <c r="P39" s="283"/>
      <c r="Q39" s="283"/>
      <c r="R39" s="281"/>
      <c r="S39" s="283"/>
      <c r="T39" s="277"/>
      <c r="U39" s="260"/>
      <c r="V39" s="8"/>
      <c r="W39" s="8"/>
      <c r="X39" s="8"/>
      <c r="Y39" s="8"/>
      <c r="Z39" s="8"/>
    </row>
    <row r="40" ht="15.75" customHeight="1">
      <c r="A40" s="274"/>
      <c r="B40" s="275"/>
      <c r="C40" s="275"/>
      <c r="D40" s="284" t="str">
        <f>DPA!D57</f>
        <v>-</v>
      </c>
      <c r="E40" s="285" t="str">
        <f>DPA!E57</f>
        <v>Taxi dari/ke Bandara - Perjalanan Dinas Dalam Negeri
Spesifikasi: BALI</v>
      </c>
      <c r="F40" s="277"/>
      <c r="G40" s="271"/>
      <c r="H40" s="280"/>
      <c r="I40" s="280"/>
      <c r="J40" s="280"/>
      <c r="K40" s="276">
        <f>DPA!S57</f>
        <v>1816000</v>
      </c>
      <c r="L40" s="277"/>
      <c r="M40" s="277">
        <f t="shared" si="5"/>
        <v>1816000</v>
      </c>
      <c r="N40" s="278"/>
      <c r="O40" s="278"/>
      <c r="P40" s="278"/>
      <c r="Q40" s="278"/>
      <c r="R40" s="277"/>
      <c r="S40" s="278"/>
      <c r="T40" s="277"/>
      <c r="U40" s="274"/>
      <c r="V40" s="72"/>
      <c r="W40" s="72"/>
      <c r="X40" s="72"/>
      <c r="Y40" s="72"/>
      <c r="Z40" s="72"/>
    </row>
    <row r="41" ht="15.75" customHeight="1">
      <c r="A41" s="260"/>
      <c r="B41" s="275"/>
      <c r="C41" s="275"/>
      <c r="D41" s="284" t="str">
        <f>DPA!D58</f>
        <v>-</v>
      </c>
      <c r="E41" s="285" t="str">
        <f>DPA!E58</f>
        <v>Taxi dari/ke Bandara - Perjalanan Dinas Dalam Negeri
Spesifikasi: D.K.I. JAKARTA</v>
      </c>
      <c r="F41" s="281"/>
      <c r="G41" s="272"/>
      <c r="H41" s="282"/>
      <c r="I41" s="282"/>
      <c r="J41" s="282"/>
      <c r="K41" s="276">
        <f>DPA!S58</f>
        <v>2048000</v>
      </c>
      <c r="L41" s="277"/>
      <c r="M41" s="277">
        <f t="shared" si="5"/>
        <v>2048000</v>
      </c>
      <c r="N41" s="278"/>
      <c r="O41" s="278"/>
      <c r="P41" s="278"/>
      <c r="Q41" s="278"/>
      <c r="R41" s="277"/>
      <c r="S41" s="278"/>
      <c r="T41" s="277"/>
      <c r="U41" s="260"/>
      <c r="V41" s="8"/>
      <c r="W41" s="8"/>
      <c r="X41" s="8"/>
      <c r="Y41" s="8"/>
      <c r="Z41" s="8"/>
    </row>
    <row r="42" ht="15.75" hidden="1" customHeight="1">
      <c r="A42" s="260"/>
      <c r="B42" s="275"/>
      <c r="C42" s="275"/>
      <c r="D42" s="284" t="str">
        <f>DPA!D59</f>
        <v>-</v>
      </c>
      <c r="E42" s="285" t="str">
        <f>DPA!E59</f>
        <v>Satuan Biaya Tiket Dalam Negeri
Spesifikasi : Denpasar - Jakarta</v>
      </c>
      <c r="F42" s="281"/>
      <c r="G42" s="272"/>
      <c r="H42" s="282"/>
      <c r="I42" s="282"/>
      <c r="J42" s="282"/>
      <c r="K42" s="276">
        <f>DPA!S59</f>
        <v>13048000</v>
      </c>
      <c r="L42" s="281"/>
      <c r="M42" s="277">
        <f t="shared" si="5"/>
        <v>13048000</v>
      </c>
      <c r="N42" s="283"/>
      <c r="O42" s="283"/>
      <c r="P42" s="283"/>
      <c r="Q42" s="283"/>
      <c r="R42" s="281"/>
      <c r="S42" s="283"/>
      <c r="T42" s="277"/>
      <c r="U42" s="260"/>
      <c r="V42" s="8"/>
      <c r="W42" s="8"/>
      <c r="X42" s="8"/>
      <c r="Y42" s="8"/>
      <c r="Z42" s="8"/>
    </row>
    <row r="43" ht="15.75" customHeight="1">
      <c r="A43" s="260"/>
      <c r="B43" s="275"/>
      <c r="C43" s="275"/>
      <c r="D43" s="284" t="str">
        <f>DPA!D60</f>
        <v>-</v>
      </c>
      <c r="E43" s="285" t="str">
        <f>DPA!E60</f>
        <v>Uang Harian Perjalanan Dinas Luar Kota/Luar Daerah
Spesifikasi: D.K.I. JAKARTA</v>
      </c>
      <c r="F43" s="281"/>
      <c r="G43" s="272"/>
      <c r="H43" s="282"/>
      <c r="I43" s="282"/>
      <c r="J43" s="282"/>
      <c r="K43" s="276">
        <f>DPA!S60</f>
        <v>6360000</v>
      </c>
      <c r="L43" s="281"/>
      <c r="M43" s="277">
        <f t="shared" si="5"/>
        <v>6360000</v>
      </c>
      <c r="N43" s="283"/>
      <c r="O43" s="283"/>
      <c r="P43" s="283"/>
      <c r="Q43" s="283"/>
      <c r="R43" s="281"/>
      <c r="S43" s="283"/>
      <c r="T43" s="277"/>
      <c r="U43" s="260"/>
      <c r="V43" s="8"/>
      <c r="W43" s="8"/>
      <c r="X43" s="8"/>
      <c r="Y43" s="8"/>
      <c r="Z43" s="8"/>
    </row>
    <row r="44" ht="15.75" customHeight="1">
      <c r="A44" s="260"/>
      <c r="B44" s="275"/>
      <c r="C44" s="275"/>
      <c r="D44" s="275"/>
      <c r="E44" s="275"/>
      <c r="F44" s="281"/>
      <c r="G44" s="272"/>
      <c r="H44" s="282"/>
      <c r="I44" s="282"/>
      <c r="J44" s="282"/>
      <c r="K44" s="276"/>
      <c r="L44" s="277"/>
      <c r="M44" s="277"/>
      <c r="N44" s="278"/>
      <c r="O44" s="278"/>
      <c r="P44" s="278"/>
      <c r="Q44" s="278"/>
      <c r="R44" s="277"/>
      <c r="S44" s="278"/>
      <c r="T44" s="277"/>
      <c r="U44" s="260"/>
      <c r="V44" s="8"/>
      <c r="W44" s="8"/>
      <c r="X44" s="8"/>
      <c r="Y44" s="8"/>
      <c r="Z44" s="8"/>
    </row>
    <row r="45" ht="15.75" hidden="1" customHeight="1">
      <c r="A45" s="260"/>
      <c r="B45" s="275" t="str">
        <f>DPA!B62</f>
        <v>5.2 </v>
      </c>
      <c r="C45" s="275" t="str">
        <f>DPA!C62</f>
        <v>Belanja Modal</v>
      </c>
      <c r="D45" s="275"/>
      <c r="E45" s="275"/>
      <c r="F45" s="281"/>
      <c r="G45" s="272"/>
      <c r="H45" s="282"/>
      <c r="I45" s="282"/>
      <c r="J45" s="282"/>
      <c r="K45" s="276">
        <f>DPA!S62</f>
        <v>61372400</v>
      </c>
      <c r="L45" s="281"/>
      <c r="M45" s="277">
        <f t="shared" ref="M45:M54" si="6">K45</f>
        <v>61372400</v>
      </c>
      <c r="N45" s="283"/>
      <c r="O45" s="283"/>
      <c r="P45" s="283"/>
      <c r="Q45" s="283"/>
      <c r="R45" s="281"/>
      <c r="S45" s="283"/>
      <c r="T45" s="277"/>
      <c r="U45" s="260"/>
      <c r="V45" s="8"/>
      <c r="W45" s="8"/>
      <c r="X45" s="8"/>
      <c r="Y45" s="8"/>
      <c r="Z45" s="8"/>
    </row>
    <row r="46" ht="15.75" hidden="1" customHeight="1">
      <c r="A46" s="260"/>
      <c r="B46" s="275" t="str">
        <f>DPA!B63</f>
        <v>5.2.02</v>
      </c>
      <c r="C46" s="275" t="str">
        <f>DPA!C63</f>
        <v>Belanja Modal Perapatan dan Mesin</v>
      </c>
      <c r="D46" s="275"/>
      <c r="E46" s="275"/>
      <c r="F46" s="281"/>
      <c r="G46" s="272"/>
      <c r="H46" s="282"/>
      <c r="I46" s="282"/>
      <c r="J46" s="282"/>
      <c r="K46" s="276">
        <f>DPA!S63</f>
        <v>61372400</v>
      </c>
      <c r="L46" s="281"/>
      <c r="M46" s="277">
        <f t="shared" si="6"/>
        <v>61372400</v>
      </c>
      <c r="N46" s="283"/>
      <c r="O46" s="283"/>
      <c r="P46" s="283"/>
      <c r="Q46" s="283"/>
      <c r="R46" s="281"/>
      <c r="S46" s="283"/>
      <c r="T46" s="277"/>
      <c r="U46" s="260"/>
      <c r="V46" s="8"/>
      <c r="W46" s="8"/>
      <c r="X46" s="8"/>
      <c r="Y46" s="8"/>
      <c r="Z46" s="8"/>
    </row>
    <row r="47" ht="15.75" hidden="1" customHeight="1">
      <c r="A47" s="260"/>
      <c r="B47" s="275" t="str">
        <f>DPA!B64</f>
        <v>5.2.02.05</v>
      </c>
      <c r="C47" s="275" t="str">
        <f>DPA!C64</f>
        <v>Belanja Modal Alat Kantor dan Rumah Tangga</v>
      </c>
      <c r="D47" s="275"/>
      <c r="E47" s="275"/>
      <c r="F47" s="281"/>
      <c r="G47" s="272"/>
      <c r="H47" s="282"/>
      <c r="I47" s="282"/>
      <c r="J47" s="282"/>
      <c r="K47" s="276">
        <f>DPA!S64</f>
        <v>61372400</v>
      </c>
      <c r="L47" s="281"/>
      <c r="M47" s="277">
        <f t="shared" si="6"/>
        <v>61372400</v>
      </c>
      <c r="N47" s="283"/>
      <c r="O47" s="283"/>
      <c r="P47" s="283"/>
      <c r="Q47" s="283"/>
      <c r="R47" s="281"/>
      <c r="S47" s="283"/>
      <c r="T47" s="277"/>
      <c r="U47" s="260"/>
      <c r="V47" s="8"/>
      <c r="W47" s="8"/>
      <c r="X47" s="8"/>
      <c r="Y47" s="8"/>
      <c r="Z47" s="8"/>
    </row>
    <row r="48" ht="15.75" hidden="1" customHeight="1">
      <c r="A48" s="260"/>
      <c r="B48" s="275" t="str">
        <f>DPA!B65</f>
        <v>5.2.02.05.001</v>
      </c>
      <c r="C48" s="275" t="str">
        <f>DPA!C65</f>
        <v>Belanja Modal Alat Kantor</v>
      </c>
      <c r="D48" s="275"/>
      <c r="E48" s="275"/>
      <c r="F48" s="281"/>
      <c r="G48" s="272"/>
      <c r="H48" s="282"/>
      <c r="I48" s="282"/>
      <c r="J48" s="282"/>
      <c r="K48" s="276">
        <f>DPA!S65</f>
        <v>34347600</v>
      </c>
      <c r="L48" s="281"/>
      <c r="M48" s="277">
        <f t="shared" si="6"/>
        <v>34347600</v>
      </c>
      <c r="N48" s="283"/>
      <c r="O48" s="283"/>
      <c r="P48" s="283"/>
      <c r="Q48" s="283"/>
      <c r="R48" s="281"/>
      <c r="S48" s="283"/>
      <c r="T48" s="277"/>
      <c r="U48" s="260"/>
      <c r="V48" s="8"/>
      <c r="W48" s="8"/>
      <c r="X48" s="8"/>
      <c r="Y48" s="8"/>
      <c r="Z48" s="8"/>
    </row>
    <row r="49" ht="15.75" hidden="1" customHeight="1">
      <c r="A49" s="260"/>
      <c r="B49" s="275" t="str">
        <f>DPA!B66</f>
        <v>5.2.02.05.001.00005</v>
      </c>
      <c r="C49" s="275" t="str">
        <f>DPA!C66</f>
        <v>Belanja Modal Alat Kantor Lainnya</v>
      </c>
      <c r="D49" s="275"/>
      <c r="E49" s="275"/>
      <c r="F49" s="281"/>
      <c r="G49" s="272"/>
      <c r="H49" s="282"/>
      <c r="I49" s="282"/>
      <c r="J49" s="282"/>
      <c r="K49" s="276">
        <f>DPA!S66</f>
        <v>34347600</v>
      </c>
      <c r="L49" s="281"/>
      <c r="M49" s="277">
        <f t="shared" si="6"/>
        <v>34347600</v>
      </c>
      <c r="N49" s="283"/>
      <c r="O49" s="283"/>
      <c r="P49" s="283"/>
      <c r="Q49" s="283"/>
      <c r="R49" s="281"/>
      <c r="S49" s="283"/>
      <c r="T49" s="277"/>
      <c r="U49" s="260"/>
      <c r="V49" s="8"/>
      <c r="W49" s="8"/>
      <c r="X49" s="8"/>
      <c r="Y49" s="8"/>
      <c r="Z49" s="8"/>
    </row>
    <row r="50" ht="15.75" hidden="1" customHeight="1">
      <c r="A50" s="260"/>
      <c r="B50" s="275" t="str">
        <f>DPA!B67</f>
        <v/>
      </c>
      <c r="C50" s="275" t="str">
        <f>DPA!C67</f>
        <v/>
      </c>
      <c r="D50" s="275"/>
      <c r="E50" s="275"/>
      <c r="F50" s="281"/>
      <c r="G50" s="272"/>
      <c r="H50" s="282"/>
      <c r="I50" s="282"/>
      <c r="J50" s="282"/>
      <c r="K50" s="276">
        <f>DPA!S67</f>
        <v>34347600</v>
      </c>
      <c r="L50" s="281"/>
      <c r="M50" s="277">
        <f t="shared" si="6"/>
        <v>34347600</v>
      </c>
      <c r="N50" s="283"/>
      <c r="O50" s="283"/>
      <c r="P50" s="283"/>
      <c r="Q50" s="283"/>
      <c r="R50" s="281"/>
      <c r="S50" s="283"/>
      <c r="T50" s="277"/>
      <c r="U50" s="260"/>
      <c r="V50" s="8"/>
      <c r="W50" s="8"/>
      <c r="X50" s="8"/>
      <c r="Y50" s="8"/>
      <c r="Z50" s="8"/>
    </row>
    <row r="51" ht="15.75" hidden="1" customHeight="1">
      <c r="A51" s="260"/>
      <c r="B51" s="275" t="str">
        <f>DPA!B68</f>
        <v/>
      </c>
      <c r="C51" s="275" t="str">
        <f>DPA!C68</f>
        <v/>
      </c>
      <c r="D51" s="275"/>
      <c r="E51" s="275"/>
      <c r="F51" s="281"/>
      <c r="G51" s="272"/>
      <c r="H51" s="282"/>
      <c r="I51" s="282"/>
      <c r="J51" s="282"/>
      <c r="K51" s="276" t="str">
        <f>DPA!S68</f>
        <v/>
      </c>
      <c r="L51" s="281"/>
      <c r="M51" s="277" t="str">
        <f t="shared" si="6"/>
        <v/>
      </c>
      <c r="N51" s="283"/>
      <c r="O51" s="283"/>
      <c r="P51" s="283"/>
      <c r="Q51" s="283"/>
      <c r="R51" s="281"/>
      <c r="S51" s="283"/>
      <c r="T51" s="277"/>
      <c r="U51" s="260"/>
      <c r="V51" s="8"/>
      <c r="W51" s="8"/>
      <c r="X51" s="8"/>
      <c r="Y51" s="8"/>
      <c r="Z51" s="8"/>
    </row>
    <row r="52" ht="15.75" hidden="1" customHeight="1">
      <c r="A52" s="260"/>
      <c r="B52" s="275" t="str">
        <f>DPA!B69</f>
        <v>5.2.02.05.002</v>
      </c>
      <c r="C52" s="275" t="str">
        <f>DPA!C69</f>
        <v>Belanja Modal Alat Rumah Tangga</v>
      </c>
      <c r="D52" s="275"/>
      <c r="E52" s="275"/>
      <c r="F52" s="281"/>
      <c r="G52" s="272"/>
      <c r="H52" s="282"/>
      <c r="I52" s="282"/>
      <c r="J52" s="282"/>
      <c r="K52" s="276">
        <f>DPA!S69</f>
        <v>27024800</v>
      </c>
      <c r="L52" s="281"/>
      <c r="M52" s="277">
        <f t="shared" si="6"/>
        <v>27024800</v>
      </c>
      <c r="N52" s="283"/>
      <c r="O52" s="283"/>
      <c r="P52" s="283"/>
      <c r="Q52" s="283"/>
      <c r="R52" s="281"/>
      <c r="S52" s="283"/>
      <c r="T52" s="277"/>
      <c r="U52" s="260"/>
      <c r="V52" s="8"/>
      <c r="W52" s="8"/>
      <c r="X52" s="8"/>
      <c r="Y52" s="8"/>
      <c r="Z52" s="8"/>
    </row>
    <row r="53" ht="15.75" customHeight="1">
      <c r="A53" s="260"/>
      <c r="B53" s="275" t="str">
        <f>DPA!B70</f>
        <v>5.2.02.05.002.000
06</v>
      </c>
      <c r="C53" s="275" t="str">
        <f>DPA!C70</f>
        <v>Belanja Modal Alat Rumah Tangga Lainnya (Home Use)</v>
      </c>
      <c r="D53" s="275"/>
      <c r="E53" s="275"/>
      <c r="F53" s="281"/>
      <c r="G53" s="272"/>
      <c r="H53" s="282"/>
      <c r="I53" s="282"/>
      <c r="J53" s="282"/>
      <c r="K53" s="276">
        <f>DPA!S70</f>
        <v>27024800</v>
      </c>
      <c r="L53" s="281"/>
      <c r="M53" s="277">
        <f t="shared" si="6"/>
        <v>27024800</v>
      </c>
      <c r="N53" s="283"/>
      <c r="O53" s="283"/>
      <c r="P53" s="283"/>
      <c r="Q53" s="283"/>
      <c r="R53" s="281"/>
      <c r="S53" s="283"/>
      <c r="T53" s="277"/>
      <c r="U53" s="260"/>
      <c r="V53" s="8"/>
      <c r="W53" s="8"/>
      <c r="X53" s="8"/>
      <c r="Y53" s="8"/>
      <c r="Z53" s="8"/>
    </row>
    <row r="54" ht="15.75" customHeight="1">
      <c r="A54" s="260"/>
      <c r="B54" s="275"/>
      <c r="C54" s="275"/>
      <c r="D54" s="284" t="str">
        <f>DPA!D71</f>
        <v>-</v>
      </c>
      <c r="E54" s="285" t="str">
        <f>DPA!E71</f>
        <v>Televisi
Spesifikasi : Smart TV 70 Inch min. UHD 4K,
Garansi Min. 1 Tahun</v>
      </c>
      <c r="F54" s="281"/>
      <c r="G54" s="272"/>
      <c r="H54" s="282"/>
      <c r="I54" s="282"/>
      <c r="J54" s="282"/>
      <c r="K54" s="276">
        <f>DPA!S71</f>
        <v>27024800</v>
      </c>
      <c r="L54" s="277"/>
      <c r="M54" s="277">
        <f t="shared" si="6"/>
        <v>27024800</v>
      </c>
      <c r="N54" s="278"/>
      <c r="O54" s="278"/>
      <c r="P54" s="278"/>
      <c r="Q54" s="278"/>
      <c r="R54" s="277"/>
      <c r="S54" s="278"/>
      <c r="T54" s="277"/>
      <c r="U54" s="260"/>
      <c r="V54" s="8"/>
      <c r="W54" s="8"/>
      <c r="X54" s="8"/>
      <c r="Y54" s="8"/>
      <c r="Z54" s="8"/>
    </row>
    <row r="55" ht="15.75" customHeight="1">
      <c r="A55" s="260"/>
      <c r="B55" s="275"/>
      <c r="C55" s="275"/>
      <c r="D55" s="275"/>
      <c r="E55" s="275"/>
      <c r="F55" s="281"/>
      <c r="G55" s="272"/>
      <c r="H55" s="282"/>
      <c r="I55" s="282"/>
      <c r="J55" s="282"/>
      <c r="K55" s="276"/>
      <c r="L55" s="281"/>
      <c r="M55" s="277"/>
      <c r="N55" s="283"/>
      <c r="O55" s="283"/>
      <c r="P55" s="283"/>
      <c r="Q55" s="283"/>
      <c r="R55" s="281"/>
      <c r="S55" s="283"/>
      <c r="T55" s="277"/>
      <c r="U55" s="260"/>
      <c r="V55" s="8"/>
      <c r="W55" s="8"/>
      <c r="X55" s="8"/>
      <c r="Y55" s="8"/>
      <c r="Z55" s="8"/>
    </row>
    <row r="56" ht="8.25" customHeight="1">
      <c r="A56" s="260"/>
      <c r="B56" s="260"/>
      <c r="C56" s="260"/>
      <c r="D56" s="260"/>
      <c r="E56" s="8"/>
      <c r="F56" s="260"/>
      <c r="G56" s="260"/>
      <c r="H56" s="260"/>
      <c r="I56" s="260"/>
      <c r="J56" s="260"/>
      <c r="K56" s="270"/>
      <c r="L56" s="270"/>
      <c r="M56" s="270"/>
      <c r="N56" s="270"/>
      <c r="O56" s="260"/>
      <c r="P56" s="270"/>
      <c r="Q56" s="270"/>
      <c r="R56" s="270"/>
      <c r="S56" s="270"/>
      <c r="T56" s="270"/>
      <c r="U56" s="260"/>
      <c r="V56" s="8"/>
      <c r="W56" s="8"/>
      <c r="X56" s="8"/>
      <c r="Y56" s="8"/>
      <c r="Z56" s="8"/>
    </row>
    <row r="57" ht="15.75" customHeight="1">
      <c r="A57" s="260"/>
      <c r="B57" s="260"/>
      <c r="C57" s="260"/>
      <c r="D57" s="260"/>
      <c r="E57" s="8"/>
      <c r="F57" s="260"/>
      <c r="G57" s="260"/>
      <c r="H57" s="260"/>
      <c r="I57" s="260"/>
      <c r="J57" s="260"/>
      <c r="K57" s="270"/>
      <c r="L57" s="270"/>
      <c r="M57" s="270"/>
      <c r="N57" s="270"/>
      <c r="O57" s="260" t="s">
        <v>114</v>
      </c>
      <c r="P57" s="270"/>
      <c r="Q57" s="270"/>
      <c r="R57" s="270"/>
      <c r="S57" s="270"/>
      <c r="T57" s="270"/>
      <c r="U57" s="260"/>
      <c r="V57" s="8"/>
      <c r="W57" s="8"/>
      <c r="X57" s="8"/>
      <c r="Y57" s="8"/>
      <c r="Z57" s="8"/>
    </row>
    <row r="58" ht="6.75" customHeight="1">
      <c r="A58" s="260"/>
      <c r="B58" s="260"/>
      <c r="C58" s="260"/>
      <c r="D58" s="260"/>
      <c r="E58" s="8"/>
      <c r="F58" s="260"/>
      <c r="G58" s="260"/>
      <c r="H58" s="260"/>
      <c r="I58" s="260"/>
      <c r="J58" s="260"/>
      <c r="K58" s="270"/>
      <c r="L58" s="270"/>
      <c r="M58" s="270"/>
      <c r="N58" s="270"/>
      <c r="O58" s="260"/>
      <c r="P58" s="270"/>
      <c r="Q58" s="270"/>
      <c r="R58" s="270"/>
      <c r="S58" s="270"/>
      <c r="T58" s="270"/>
      <c r="U58" s="260"/>
      <c r="V58" s="8"/>
      <c r="W58" s="8"/>
      <c r="X58" s="8"/>
      <c r="Y58" s="8"/>
      <c r="Z58" s="8"/>
    </row>
    <row r="59" ht="15.75" customHeight="1">
      <c r="A59" s="260"/>
      <c r="B59" s="260"/>
      <c r="C59" s="260"/>
      <c r="D59" s="260"/>
      <c r="E59" s="260" t="s">
        <v>168</v>
      </c>
      <c r="F59" s="260"/>
      <c r="G59" s="260"/>
      <c r="H59" s="260"/>
      <c r="I59" s="260"/>
      <c r="J59" s="260"/>
      <c r="K59" s="270"/>
      <c r="L59" s="270"/>
      <c r="M59" s="270"/>
      <c r="N59" s="270"/>
      <c r="O59" s="260"/>
      <c r="P59" s="270"/>
      <c r="Q59" s="270"/>
      <c r="R59" s="270"/>
      <c r="S59" s="270"/>
      <c r="T59" s="270"/>
      <c r="U59" s="260"/>
      <c r="V59" s="8"/>
      <c r="W59" s="8"/>
      <c r="X59" s="8"/>
      <c r="Y59" s="8"/>
      <c r="Z59" s="8"/>
    </row>
    <row r="60" ht="15.75" customHeight="1">
      <c r="A60" s="260"/>
      <c r="B60" s="260"/>
      <c r="C60" s="260"/>
      <c r="D60" s="260"/>
      <c r="E60" s="256" t="s">
        <v>170</v>
      </c>
      <c r="F60" s="260"/>
      <c r="G60" s="260"/>
      <c r="H60" s="260"/>
      <c r="I60" s="260"/>
      <c r="J60" s="260"/>
      <c r="K60" s="270"/>
      <c r="L60" s="270"/>
      <c r="M60" s="270"/>
      <c r="N60" s="270"/>
      <c r="O60" s="260"/>
      <c r="P60" s="270"/>
      <c r="Q60" s="270"/>
      <c r="R60" s="270"/>
      <c r="S60" s="270"/>
      <c r="T60" s="270"/>
      <c r="U60" s="260"/>
      <c r="V60" s="8"/>
      <c r="W60" s="8"/>
      <c r="X60" s="8"/>
      <c r="Y60" s="8"/>
      <c r="Z60" s="8"/>
    </row>
    <row r="61" ht="15.75" customHeight="1">
      <c r="A61" s="260"/>
      <c r="B61" s="260"/>
      <c r="C61" s="260"/>
      <c r="D61" s="260"/>
      <c r="E61" s="256" t="s">
        <v>171</v>
      </c>
      <c r="F61" s="260"/>
      <c r="G61" s="260"/>
      <c r="H61" s="260"/>
      <c r="I61" s="260"/>
      <c r="J61" s="260"/>
      <c r="K61" s="270"/>
      <c r="L61" s="270"/>
      <c r="M61" s="270"/>
      <c r="N61" s="270"/>
      <c r="O61" s="260"/>
      <c r="P61" s="270"/>
      <c r="Q61" s="270"/>
      <c r="R61" s="270"/>
      <c r="S61" s="270"/>
      <c r="T61" s="270"/>
      <c r="U61" s="260"/>
      <c r="V61" s="8"/>
      <c r="W61" s="8"/>
      <c r="X61" s="8"/>
      <c r="Y61" s="8"/>
      <c r="Z61" s="8"/>
    </row>
    <row r="62" ht="15.75" customHeight="1">
      <c r="A62" s="260"/>
      <c r="B62" s="260"/>
      <c r="C62" s="260"/>
      <c r="D62" s="260"/>
      <c r="E62" s="8"/>
      <c r="F62" s="260"/>
      <c r="G62" s="260"/>
      <c r="H62" s="260"/>
      <c r="I62" s="260"/>
      <c r="J62" s="260"/>
      <c r="K62" s="270"/>
      <c r="L62" s="270"/>
      <c r="M62" s="270"/>
      <c r="N62" s="270"/>
      <c r="O62" s="260"/>
      <c r="P62" s="270"/>
      <c r="Q62" s="270"/>
      <c r="R62" s="270"/>
      <c r="S62" s="270"/>
      <c r="T62" s="270"/>
      <c r="U62" s="260"/>
      <c r="V62" s="8"/>
      <c r="W62" s="8"/>
      <c r="X62" s="8"/>
      <c r="Y62" s="8"/>
      <c r="Z62" s="8"/>
    </row>
    <row r="63" ht="15.75" customHeight="1">
      <c r="A63" s="260"/>
      <c r="B63" s="260"/>
      <c r="C63" s="260"/>
      <c r="D63" s="260"/>
      <c r="E63" s="8"/>
      <c r="F63" s="260"/>
      <c r="G63" s="260"/>
      <c r="H63" s="260"/>
      <c r="I63" s="260"/>
      <c r="J63" s="260"/>
      <c r="K63" s="270"/>
      <c r="L63" s="270"/>
      <c r="M63" s="270"/>
      <c r="N63" s="270"/>
      <c r="O63" s="260"/>
      <c r="P63" s="270"/>
      <c r="Q63" s="270"/>
      <c r="R63" s="270"/>
      <c r="S63" s="270"/>
      <c r="T63" s="270"/>
      <c r="U63" s="260"/>
      <c r="V63" s="8"/>
      <c r="W63" s="8"/>
      <c r="X63" s="8"/>
      <c r="Y63" s="8"/>
      <c r="Z63" s="8"/>
    </row>
    <row r="64" ht="15.75" customHeight="1">
      <c r="A64" s="260"/>
      <c r="B64" s="260"/>
      <c r="C64" s="260"/>
      <c r="D64" s="260"/>
      <c r="E64" s="8"/>
      <c r="F64" s="260"/>
      <c r="G64" s="260"/>
      <c r="H64" s="260"/>
      <c r="I64" s="260"/>
      <c r="J64" s="260"/>
      <c r="K64" s="270"/>
      <c r="L64" s="270"/>
      <c r="M64" s="270"/>
      <c r="N64" s="270"/>
      <c r="O64" s="260"/>
      <c r="P64" s="270"/>
      <c r="Q64" s="270"/>
      <c r="R64" s="270"/>
      <c r="S64" s="270"/>
      <c r="T64" s="270"/>
      <c r="U64" s="260"/>
      <c r="V64" s="8"/>
      <c r="W64" s="8"/>
      <c r="X64" s="8"/>
      <c r="Y64" s="8"/>
      <c r="Z64" s="8"/>
    </row>
    <row r="65" ht="15.75" customHeight="1">
      <c r="A65" s="260"/>
      <c r="B65" s="260"/>
      <c r="C65" s="260"/>
      <c r="D65" s="260"/>
      <c r="E65" s="258" t="s">
        <v>123</v>
      </c>
      <c r="F65" s="260"/>
      <c r="G65" s="260"/>
      <c r="H65" s="260"/>
      <c r="I65" s="260"/>
      <c r="J65" s="260"/>
      <c r="K65" s="270"/>
      <c r="L65" s="270"/>
      <c r="M65" s="270"/>
      <c r="N65" s="270"/>
      <c r="O65" s="286"/>
      <c r="P65" s="270"/>
      <c r="Q65" s="270"/>
      <c r="R65" s="270"/>
      <c r="S65" s="270"/>
      <c r="T65" s="270"/>
      <c r="U65" s="260"/>
      <c r="V65" s="8"/>
      <c r="W65" s="8"/>
      <c r="X65" s="8"/>
      <c r="Y65" s="8"/>
      <c r="Z65" s="8"/>
    </row>
    <row r="66" ht="15.75" customHeight="1">
      <c r="A66" s="260"/>
      <c r="B66" s="260"/>
      <c r="C66" s="260"/>
      <c r="D66" s="260"/>
      <c r="E66" s="256" t="s">
        <v>218</v>
      </c>
      <c r="F66" s="8"/>
      <c r="G66" s="260"/>
      <c r="H66" s="260"/>
      <c r="I66" s="260"/>
      <c r="J66" s="260"/>
      <c r="K66" s="270"/>
      <c r="L66" s="270"/>
      <c r="M66" s="270"/>
      <c r="N66" s="270"/>
      <c r="O66" s="260"/>
      <c r="P66" s="270"/>
      <c r="Q66" s="270"/>
      <c r="R66" s="270"/>
      <c r="S66" s="270"/>
      <c r="T66" s="270"/>
      <c r="U66" s="260"/>
      <c r="V66" s="8"/>
      <c r="W66" s="8"/>
      <c r="X66" s="8"/>
      <c r="Y66" s="8"/>
      <c r="Z66" s="8"/>
    </row>
    <row r="67" ht="15.75" customHeight="1">
      <c r="A67" s="260"/>
      <c r="B67" s="260"/>
      <c r="C67" s="260"/>
      <c r="D67" s="260"/>
      <c r="E67" s="256" t="s">
        <v>125</v>
      </c>
      <c r="F67" s="260"/>
      <c r="G67" s="260"/>
      <c r="H67" s="260"/>
      <c r="I67" s="260"/>
      <c r="J67" s="260"/>
      <c r="K67" s="270"/>
      <c r="L67" s="270"/>
      <c r="M67" s="270"/>
      <c r="N67" s="270"/>
      <c r="O67" s="260"/>
      <c r="P67" s="270"/>
      <c r="Q67" s="270"/>
      <c r="R67" s="270"/>
      <c r="S67" s="270"/>
      <c r="T67" s="270"/>
      <c r="U67" s="260"/>
      <c r="V67" s="8"/>
      <c r="W67" s="8"/>
      <c r="X67" s="8"/>
      <c r="Y67" s="8"/>
      <c r="Z67" s="8"/>
    </row>
    <row r="68" ht="15.75" customHeight="1">
      <c r="A68" s="260"/>
      <c r="B68" s="260"/>
      <c r="C68" s="260"/>
      <c r="D68" s="260"/>
      <c r="E68" s="260"/>
      <c r="F68" s="260"/>
      <c r="G68" s="260"/>
      <c r="H68" s="260"/>
      <c r="I68" s="260"/>
      <c r="J68" s="26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60"/>
      <c r="V68" s="8"/>
      <c r="W68" s="8"/>
      <c r="X68" s="8"/>
      <c r="Y68" s="8"/>
      <c r="Z68" s="8"/>
    </row>
    <row r="69" ht="15.75" customHeight="1">
      <c r="A69" s="260"/>
      <c r="B69" s="260"/>
      <c r="C69" s="260"/>
      <c r="D69" s="260"/>
      <c r="E69" s="260"/>
      <c r="F69" s="260"/>
      <c r="G69" s="260"/>
      <c r="H69" s="260"/>
      <c r="I69" s="260"/>
      <c r="J69" s="26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60"/>
      <c r="V69" s="8"/>
      <c r="W69" s="8"/>
      <c r="X69" s="8"/>
      <c r="Y69" s="8"/>
      <c r="Z69" s="8"/>
    </row>
    <row r="70" ht="15.7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8"/>
      <c r="W70" s="8"/>
      <c r="X70" s="8"/>
      <c r="Y70" s="8"/>
      <c r="Z70" s="8"/>
    </row>
    <row r="71" ht="15.7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8"/>
      <c r="W71" s="8"/>
      <c r="X71" s="8"/>
      <c r="Y71" s="8"/>
      <c r="Z71" s="8"/>
    </row>
    <row r="72" ht="15.7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8"/>
      <c r="W72" s="8"/>
      <c r="X72" s="8"/>
      <c r="Y72" s="8"/>
      <c r="Z72" s="8"/>
    </row>
    <row r="73" ht="15.7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8"/>
      <c r="W73" s="8"/>
      <c r="X73" s="8"/>
      <c r="Y73" s="8"/>
      <c r="Z73" s="8"/>
    </row>
    <row r="74" ht="15.7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8"/>
      <c r="W74" s="8"/>
      <c r="X74" s="8"/>
      <c r="Y74" s="8"/>
      <c r="Z74" s="8"/>
    </row>
    <row r="75" ht="15.7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8"/>
      <c r="W75" s="8"/>
      <c r="X75" s="8"/>
      <c r="Y75" s="8"/>
      <c r="Z75" s="8"/>
    </row>
    <row r="76" ht="15.7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70"/>
      <c r="N76" s="260"/>
      <c r="O76" s="260"/>
      <c r="P76" s="260"/>
      <c r="Q76" s="260"/>
      <c r="R76" s="260"/>
      <c r="S76" s="260"/>
      <c r="T76" s="260"/>
      <c r="U76" s="260"/>
      <c r="V76" s="8"/>
      <c r="W76" s="8"/>
      <c r="X76" s="8"/>
      <c r="Y76" s="8"/>
      <c r="Z76" s="8"/>
    </row>
    <row r="77" ht="15.7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8"/>
      <c r="W77" s="8"/>
      <c r="X77" s="8"/>
      <c r="Y77" s="8"/>
      <c r="Z77" s="8"/>
    </row>
    <row r="78" ht="15.7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8"/>
      <c r="W78" s="8"/>
      <c r="X78" s="8"/>
      <c r="Y78" s="8"/>
      <c r="Z78" s="8"/>
    </row>
    <row r="79" ht="15.7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8"/>
      <c r="W79" s="8"/>
      <c r="X79" s="8"/>
      <c r="Y79" s="8"/>
      <c r="Z79" s="8"/>
    </row>
    <row r="80" ht="15.7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8"/>
      <c r="W80" s="8"/>
      <c r="X80" s="8"/>
      <c r="Y80" s="8"/>
      <c r="Z80" s="8"/>
    </row>
    <row r="81" ht="15.7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70"/>
      <c r="M81" s="260"/>
      <c r="N81" s="260"/>
      <c r="O81" s="260"/>
      <c r="P81" s="260"/>
      <c r="Q81" s="260"/>
      <c r="R81" s="260"/>
      <c r="S81" s="260"/>
      <c r="T81" s="260"/>
      <c r="U81" s="260"/>
      <c r="V81" s="8"/>
      <c r="W81" s="8"/>
      <c r="X81" s="8"/>
      <c r="Y81" s="8"/>
      <c r="Z81" s="8"/>
    </row>
    <row r="82" ht="15.7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70"/>
      <c r="O82" s="260"/>
      <c r="P82" s="260"/>
      <c r="Q82" s="260"/>
      <c r="R82" s="260"/>
      <c r="S82" s="260"/>
      <c r="T82" s="260"/>
      <c r="U82" s="260"/>
      <c r="V82" s="8"/>
      <c r="W82" s="8"/>
      <c r="X82" s="8"/>
      <c r="Y82" s="8"/>
      <c r="Z82" s="8"/>
    </row>
    <row r="83" ht="15.7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8"/>
      <c r="W83" s="8"/>
      <c r="X83" s="8"/>
      <c r="Y83" s="8"/>
      <c r="Z83" s="8"/>
    </row>
    <row r="84" ht="15.7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8"/>
      <c r="W84" s="8"/>
      <c r="X84" s="8"/>
      <c r="Y84" s="8"/>
      <c r="Z84" s="8"/>
    </row>
    <row r="85" ht="15.7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8"/>
      <c r="W85" s="8"/>
      <c r="X85" s="8"/>
      <c r="Y85" s="8"/>
      <c r="Z85" s="8"/>
    </row>
    <row r="86" ht="15.7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8"/>
      <c r="W86" s="8"/>
      <c r="X86" s="8"/>
      <c r="Y86" s="8"/>
      <c r="Z86" s="8"/>
    </row>
    <row r="87" ht="15.7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8"/>
      <c r="W87" s="8"/>
      <c r="X87" s="8"/>
      <c r="Y87" s="8"/>
      <c r="Z87" s="8"/>
    </row>
    <row r="88" ht="15.7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8"/>
      <c r="W88" s="8"/>
      <c r="X88" s="8"/>
      <c r="Y88" s="8"/>
      <c r="Z88" s="8"/>
    </row>
    <row r="89" ht="15.7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8"/>
      <c r="W89" s="8"/>
      <c r="X89" s="8"/>
      <c r="Y89" s="8"/>
      <c r="Z89" s="8"/>
    </row>
    <row r="90" ht="15.7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8"/>
      <c r="W90" s="8"/>
      <c r="X90" s="8"/>
      <c r="Y90" s="8"/>
      <c r="Z90" s="8"/>
    </row>
    <row r="91" ht="15.7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8"/>
      <c r="W91" s="8"/>
      <c r="X91" s="8"/>
      <c r="Y91" s="8"/>
      <c r="Z91" s="8"/>
    </row>
    <row r="92" ht="15.7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8"/>
      <c r="W92" s="8"/>
      <c r="X92" s="8"/>
      <c r="Y92" s="8"/>
      <c r="Z92" s="8"/>
    </row>
    <row r="93" ht="15.7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8"/>
      <c r="W93" s="8"/>
      <c r="X93" s="8"/>
      <c r="Y93" s="8"/>
      <c r="Z93" s="8"/>
    </row>
    <row r="94" ht="15.7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8"/>
      <c r="W94" s="8"/>
      <c r="X94" s="8"/>
      <c r="Y94" s="8"/>
      <c r="Z94" s="8"/>
    </row>
    <row r="95" ht="15.7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8"/>
      <c r="W95" s="8"/>
      <c r="X95" s="8"/>
      <c r="Y95" s="8"/>
      <c r="Z95" s="8"/>
    </row>
    <row r="96" ht="15.7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8"/>
      <c r="W96" s="8"/>
      <c r="X96" s="8"/>
      <c r="Y96" s="8"/>
      <c r="Z96" s="8"/>
    </row>
    <row r="97" ht="15.7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8"/>
      <c r="W97" s="8"/>
      <c r="X97" s="8"/>
      <c r="Y97" s="8"/>
      <c r="Z97" s="8"/>
    </row>
    <row r="98" ht="15.7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8"/>
      <c r="W98" s="8"/>
      <c r="X98" s="8"/>
      <c r="Y98" s="8"/>
      <c r="Z98" s="8"/>
    </row>
    <row r="99" ht="15.7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8"/>
      <c r="W99" s="8"/>
      <c r="X99" s="8"/>
      <c r="Y99" s="8"/>
      <c r="Z99" s="8"/>
    </row>
    <row r="100" ht="15.7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8"/>
      <c r="W100" s="8"/>
      <c r="X100" s="8"/>
      <c r="Y100" s="8"/>
      <c r="Z100" s="8"/>
    </row>
    <row r="101" ht="15.7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8"/>
      <c r="W101" s="8"/>
      <c r="X101" s="8"/>
      <c r="Y101" s="8"/>
      <c r="Z101" s="8"/>
    </row>
    <row r="102" ht="15.7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8"/>
      <c r="W102" s="8"/>
      <c r="X102" s="8"/>
      <c r="Y102" s="8"/>
      <c r="Z102" s="8"/>
    </row>
    <row r="103" ht="15.7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8"/>
      <c r="W103" s="8"/>
      <c r="X103" s="8"/>
      <c r="Y103" s="8"/>
      <c r="Z103" s="8"/>
    </row>
    <row r="104" ht="15.7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8"/>
      <c r="W104" s="8"/>
      <c r="X104" s="8"/>
      <c r="Y104" s="8"/>
      <c r="Z104" s="8"/>
    </row>
    <row r="105" ht="15.7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8"/>
      <c r="W105" s="8"/>
      <c r="X105" s="8"/>
      <c r="Y105" s="8"/>
      <c r="Z105" s="8"/>
    </row>
    <row r="106" ht="15.7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8"/>
      <c r="W106" s="8"/>
      <c r="X106" s="8"/>
      <c r="Y106" s="8"/>
      <c r="Z106" s="8"/>
    </row>
    <row r="107" ht="15.7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8"/>
      <c r="W107" s="8"/>
      <c r="X107" s="8"/>
      <c r="Y107" s="8"/>
      <c r="Z107" s="8"/>
    </row>
    <row r="108" ht="15.7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8"/>
      <c r="W108" s="8"/>
      <c r="X108" s="8"/>
      <c r="Y108" s="8"/>
      <c r="Z108" s="8"/>
    </row>
    <row r="109" ht="15.7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8"/>
      <c r="W109" s="8"/>
      <c r="X109" s="8"/>
      <c r="Y109" s="8"/>
      <c r="Z109" s="8"/>
    </row>
    <row r="110" ht="15.7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8"/>
      <c r="W110" s="8"/>
      <c r="X110" s="8"/>
      <c r="Y110" s="8"/>
      <c r="Z110" s="8"/>
    </row>
    <row r="111" ht="15.7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8"/>
      <c r="W111" s="8"/>
      <c r="X111" s="8"/>
      <c r="Y111" s="8"/>
      <c r="Z111" s="8"/>
    </row>
    <row r="112" ht="15.7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8"/>
      <c r="W112" s="8"/>
      <c r="X112" s="8"/>
      <c r="Y112" s="8"/>
      <c r="Z112" s="8"/>
    </row>
    <row r="113" ht="15.7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8"/>
      <c r="W113" s="8"/>
      <c r="X113" s="8"/>
      <c r="Y113" s="8"/>
      <c r="Z113" s="8"/>
    </row>
    <row r="114" ht="15.7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8"/>
      <c r="W114" s="8"/>
      <c r="X114" s="8"/>
      <c r="Y114" s="8"/>
      <c r="Z114" s="8"/>
    </row>
    <row r="115" ht="15.7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8"/>
      <c r="W115" s="8"/>
      <c r="X115" s="8"/>
      <c r="Y115" s="8"/>
      <c r="Z115" s="8"/>
    </row>
    <row r="116" ht="15.7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8"/>
      <c r="W116" s="8"/>
      <c r="X116" s="8"/>
      <c r="Y116" s="8"/>
      <c r="Z116" s="8"/>
    </row>
    <row r="117" ht="15.7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8"/>
      <c r="W117" s="8"/>
      <c r="X117" s="8"/>
      <c r="Y117" s="8"/>
      <c r="Z117" s="8"/>
    </row>
    <row r="118" ht="15.7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8"/>
      <c r="W118" s="8"/>
      <c r="X118" s="8"/>
      <c r="Y118" s="8"/>
      <c r="Z118" s="8"/>
    </row>
    <row r="119" ht="15.7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8"/>
      <c r="W119" s="8"/>
      <c r="X119" s="8"/>
      <c r="Y119" s="8"/>
      <c r="Z119" s="8"/>
    </row>
    <row r="120" ht="15.7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8"/>
      <c r="W120" s="8"/>
      <c r="X120" s="8"/>
      <c r="Y120" s="8"/>
      <c r="Z120" s="8"/>
    </row>
    <row r="121" ht="15.7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8"/>
      <c r="W121" s="8"/>
      <c r="X121" s="8"/>
      <c r="Y121" s="8"/>
      <c r="Z121" s="8"/>
    </row>
    <row r="122" ht="15.7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8"/>
      <c r="W122" s="8"/>
      <c r="X122" s="8"/>
      <c r="Y122" s="8"/>
      <c r="Z122" s="8"/>
    </row>
    <row r="123" ht="15.7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8"/>
      <c r="W123" s="8"/>
      <c r="X123" s="8"/>
      <c r="Y123" s="8"/>
      <c r="Z123" s="8"/>
    </row>
    <row r="124" ht="15.7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8"/>
      <c r="W124" s="8"/>
      <c r="X124" s="8"/>
      <c r="Y124" s="8"/>
      <c r="Z124" s="8"/>
    </row>
    <row r="125" ht="15.7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8"/>
      <c r="W125" s="8"/>
      <c r="X125" s="8"/>
      <c r="Y125" s="8"/>
      <c r="Z125" s="8"/>
    </row>
    <row r="126" ht="15.7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8"/>
      <c r="W126" s="8"/>
      <c r="X126" s="8"/>
      <c r="Y126" s="8"/>
      <c r="Z126" s="8"/>
    </row>
    <row r="127" ht="15.7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8"/>
      <c r="W127" s="8"/>
      <c r="X127" s="8"/>
      <c r="Y127" s="8"/>
      <c r="Z127" s="8"/>
    </row>
    <row r="128" ht="15.7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8"/>
      <c r="W128" s="8"/>
      <c r="X128" s="8"/>
      <c r="Y128" s="8"/>
      <c r="Z128" s="8"/>
    </row>
    <row r="129" ht="15.7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8"/>
      <c r="W129" s="8"/>
      <c r="X129" s="8"/>
      <c r="Y129" s="8"/>
      <c r="Z129" s="8"/>
    </row>
    <row r="130" ht="15.7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8"/>
      <c r="W130" s="8"/>
      <c r="X130" s="8"/>
      <c r="Y130" s="8"/>
      <c r="Z130" s="8"/>
    </row>
    <row r="131" ht="15.7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8"/>
      <c r="W131" s="8"/>
      <c r="X131" s="8"/>
      <c r="Y131" s="8"/>
      <c r="Z131" s="8"/>
    </row>
    <row r="132" ht="15.7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8"/>
      <c r="W132" s="8"/>
      <c r="X132" s="8"/>
      <c r="Y132" s="8"/>
      <c r="Z132" s="8"/>
    </row>
    <row r="133" ht="15.7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8"/>
      <c r="W133" s="8"/>
      <c r="X133" s="8"/>
      <c r="Y133" s="8"/>
      <c r="Z133" s="8"/>
    </row>
    <row r="134" ht="15.7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8"/>
      <c r="W134" s="8"/>
      <c r="X134" s="8"/>
      <c r="Y134" s="8"/>
      <c r="Z134" s="8"/>
    </row>
    <row r="135" ht="15.7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8"/>
      <c r="W135" s="8"/>
      <c r="X135" s="8"/>
      <c r="Y135" s="8"/>
      <c r="Z135" s="8"/>
    </row>
    <row r="136" ht="15.7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8"/>
      <c r="W136" s="8"/>
      <c r="X136" s="8"/>
      <c r="Y136" s="8"/>
      <c r="Z136" s="8"/>
    </row>
    <row r="137" ht="15.7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8"/>
      <c r="W137" s="8"/>
      <c r="X137" s="8"/>
      <c r="Y137" s="8"/>
      <c r="Z137" s="8"/>
    </row>
    <row r="138" ht="15.7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8"/>
      <c r="W138" s="8"/>
      <c r="X138" s="8"/>
      <c r="Y138" s="8"/>
      <c r="Z138" s="8"/>
    </row>
    <row r="139" ht="15.7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8"/>
      <c r="W139" s="8"/>
      <c r="X139" s="8"/>
      <c r="Y139" s="8"/>
      <c r="Z139" s="8"/>
    </row>
    <row r="140" ht="15.7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8"/>
      <c r="W140" s="8"/>
      <c r="X140" s="8"/>
      <c r="Y140" s="8"/>
      <c r="Z140" s="8"/>
    </row>
    <row r="141" ht="15.7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8"/>
      <c r="W141" s="8"/>
      <c r="X141" s="8"/>
      <c r="Y141" s="8"/>
      <c r="Z141" s="8"/>
    </row>
    <row r="142" ht="15.7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8"/>
      <c r="W142" s="8"/>
      <c r="X142" s="8"/>
      <c r="Y142" s="8"/>
      <c r="Z142" s="8"/>
    </row>
    <row r="143" ht="15.7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8"/>
      <c r="W143" s="8"/>
      <c r="X143" s="8"/>
      <c r="Y143" s="8"/>
      <c r="Z143" s="8"/>
    </row>
    <row r="144" ht="15.7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8"/>
      <c r="W144" s="8"/>
      <c r="X144" s="8"/>
      <c r="Y144" s="8"/>
      <c r="Z144" s="8"/>
    </row>
    <row r="145" ht="15.7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8"/>
      <c r="W145" s="8"/>
      <c r="X145" s="8"/>
      <c r="Y145" s="8"/>
      <c r="Z145" s="8"/>
    </row>
    <row r="146" ht="15.7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8"/>
      <c r="W146" s="8"/>
      <c r="X146" s="8"/>
      <c r="Y146" s="8"/>
      <c r="Z146" s="8"/>
    </row>
    <row r="147" ht="15.7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8"/>
      <c r="W147" s="8"/>
      <c r="X147" s="8"/>
      <c r="Y147" s="8"/>
      <c r="Z147" s="8"/>
    </row>
    <row r="148" ht="15.7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8"/>
      <c r="W148" s="8"/>
      <c r="X148" s="8"/>
      <c r="Y148" s="8"/>
      <c r="Z148" s="8"/>
    </row>
    <row r="149" ht="15.7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8"/>
      <c r="W149" s="8"/>
      <c r="X149" s="8"/>
      <c r="Y149" s="8"/>
      <c r="Z149" s="8"/>
    </row>
    <row r="150" ht="15.7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8"/>
      <c r="W150" s="8"/>
      <c r="X150" s="8"/>
      <c r="Y150" s="8"/>
      <c r="Z150" s="8"/>
    </row>
    <row r="151" ht="15.7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8"/>
      <c r="W151" s="8"/>
      <c r="X151" s="8"/>
      <c r="Y151" s="8"/>
      <c r="Z151" s="8"/>
    </row>
    <row r="152" ht="15.7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8"/>
      <c r="W152" s="8"/>
      <c r="X152" s="8"/>
      <c r="Y152" s="8"/>
      <c r="Z152" s="8"/>
    </row>
    <row r="153" ht="15.7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8"/>
      <c r="W153" s="8"/>
      <c r="X153" s="8"/>
      <c r="Y153" s="8"/>
      <c r="Z153" s="8"/>
    </row>
    <row r="154" ht="15.7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8"/>
      <c r="W154" s="8"/>
      <c r="X154" s="8"/>
      <c r="Y154" s="8"/>
      <c r="Z154" s="8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8"/>
      <c r="W155" s="8"/>
      <c r="X155" s="8"/>
      <c r="Y155" s="8"/>
      <c r="Z155" s="8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8"/>
      <c r="W156" s="8"/>
      <c r="X156" s="8"/>
      <c r="Y156" s="8"/>
      <c r="Z156" s="8"/>
    </row>
    <row r="157" ht="15.7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8"/>
      <c r="W157" s="8"/>
      <c r="X157" s="8"/>
      <c r="Y157" s="8"/>
      <c r="Z157" s="8"/>
    </row>
    <row r="158" ht="15.7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8"/>
      <c r="W158" s="8"/>
      <c r="X158" s="8"/>
      <c r="Y158" s="8"/>
      <c r="Z158" s="8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8"/>
      <c r="W159" s="8"/>
      <c r="X159" s="8"/>
      <c r="Y159" s="8"/>
      <c r="Z159" s="8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8"/>
      <c r="W160" s="8"/>
      <c r="X160" s="8"/>
      <c r="Y160" s="8"/>
      <c r="Z160" s="8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8"/>
      <c r="W161" s="8"/>
      <c r="X161" s="8"/>
      <c r="Y161" s="8"/>
      <c r="Z161" s="8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8"/>
      <c r="W162" s="8"/>
      <c r="X162" s="8"/>
      <c r="Y162" s="8"/>
      <c r="Z162" s="8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8"/>
      <c r="W163" s="8"/>
      <c r="X163" s="8"/>
      <c r="Y163" s="8"/>
      <c r="Z163" s="8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8"/>
      <c r="W164" s="8"/>
      <c r="X164" s="8"/>
      <c r="Y164" s="8"/>
      <c r="Z164" s="8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8"/>
      <c r="W165" s="8"/>
      <c r="X165" s="8"/>
      <c r="Y165" s="8"/>
      <c r="Z165" s="8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8"/>
      <c r="W166" s="8"/>
      <c r="X166" s="8"/>
      <c r="Y166" s="8"/>
      <c r="Z166" s="8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8"/>
      <c r="W167" s="8"/>
      <c r="X167" s="8"/>
      <c r="Y167" s="8"/>
      <c r="Z167" s="8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8"/>
      <c r="W168" s="8"/>
      <c r="X168" s="8"/>
      <c r="Y168" s="8"/>
      <c r="Z168" s="8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8"/>
      <c r="W169" s="8"/>
      <c r="X169" s="8"/>
      <c r="Y169" s="8"/>
      <c r="Z169" s="8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8"/>
      <c r="W170" s="8"/>
      <c r="X170" s="8"/>
      <c r="Y170" s="8"/>
      <c r="Z170" s="8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8"/>
      <c r="W171" s="8"/>
      <c r="X171" s="8"/>
      <c r="Y171" s="8"/>
      <c r="Z171" s="8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8"/>
      <c r="W172" s="8"/>
      <c r="X172" s="8"/>
      <c r="Y172" s="8"/>
      <c r="Z172" s="8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8"/>
      <c r="W173" s="8"/>
      <c r="X173" s="8"/>
      <c r="Y173" s="8"/>
      <c r="Z173" s="8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8"/>
      <c r="W174" s="8"/>
      <c r="X174" s="8"/>
      <c r="Y174" s="8"/>
      <c r="Z174" s="8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8"/>
      <c r="W175" s="8"/>
      <c r="X175" s="8"/>
      <c r="Y175" s="8"/>
      <c r="Z175" s="8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8"/>
      <c r="W176" s="8"/>
      <c r="X176" s="8"/>
      <c r="Y176" s="8"/>
      <c r="Z176" s="8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8"/>
      <c r="W177" s="8"/>
      <c r="X177" s="8"/>
      <c r="Y177" s="8"/>
      <c r="Z177" s="8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8"/>
      <c r="W178" s="8"/>
      <c r="X178" s="8"/>
      <c r="Y178" s="8"/>
      <c r="Z178" s="8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8"/>
      <c r="W179" s="8"/>
      <c r="X179" s="8"/>
      <c r="Y179" s="8"/>
      <c r="Z179" s="8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8"/>
      <c r="W180" s="8"/>
      <c r="X180" s="8"/>
      <c r="Y180" s="8"/>
      <c r="Z180" s="8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8"/>
      <c r="W181" s="8"/>
      <c r="X181" s="8"/>
      <c r="Y181" s="8"/>
      <c r="Z181" s="8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8"/>
      <c r="W182" s="8"/>
      <c r="X182" s="8"/>
      <c r="Y182" s="8"/>
      <c r="Z182" s="8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8"/>
      <c r="W183" s="8"/>
      <c r="X183" s="8"/>
      <c r="Y183" s="8"/>
      <c r="Z183" s="8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8"/>
      <c r="W184" s="8"/>
      <c r="X184" s="8"/>
      <c r="Y184" s="8"/>
      <c r="Z184" s="8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8"/>
      <c r="W185" s="8"/>
      <c r="X185" s="8"/>
      <c r="Y185" s="8"/>
      <c r="Z185" s="8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8"/>
      <c r="W186" s="8"/>
      <c r="X186" s="8"/>
      <c r="Y186" s="8"/>
      <c r="Z186" s="8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8"/>
      <c r="W187" s="8"/>
      <c r="X187" s="8"/>
      <c r="Y187" s="8"/>
      <c r="Z187" s="8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8"/>
      <c r="W188" s="8"/>
      <c r="X188" s="8"/>
      <c r="Y188" s="8"/>
      <c r="Z188" s="8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8"/>
      <c r="W189" s="8"/>
      <c r="X189" s="8"/>
      <c r="Y189" s="8"/>
      <c r="Z189" s="8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8"/>
      <c r="W190" s="8"/>
      <c r="X190" s="8"/>
      <c r="Y190" s="8"/>
      <c r="Z190" s="8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8"/>
      <c r="W191" s="8"/>
      <c r="X191" s="8"/>
      <c r="Y191" s="8"/>
      <c r="Z191" s="8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8"/>
      <c r="W192" s="8"/>
      <c r="X192" s="8"/>
      <c r="Y192" s="8"/>
      <c r="Z192" s="8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8"/>
      <c r="W193" s="8"/>
      <c r="X193" s="8"/>
      <c r="Y193" s="8"/>
      <c r="Z193" s="8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8"/>
      <c r="W194" s="8"/>
      <c r="X194" s="8"/>
      <c r="Y194" s="8"/>
      <c r="Z194" s="8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8"/>
      <c r="W195" s="8"/>
      <c r="X195" s="8"/>
      <c r="Y195" s="8"/>
      <c r="Z195" s="8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8"/>
      <c r="W196" s="8"/>
      <c r="X196" s="8"/>
      <c r="Y196" s="8"/>
      <c r="Z196" s="8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8"/>
      <c r="W197" s="8"/>
      <c r="X197" s="8"/>
      <c r="Y197" s="8"/>
      <c r="Z197" s="8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8"/>
      <c r="W198" s="8"/>
      <c r="X198" s="8"/>
      <c r="Y198" s="8"/>
      <c r="Z198" s="8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8"/>
      <c r="W199" s="8"/>
      <c r="X199" s="8"/>
      <c r="Y199" s="8"/>
      <c r="Z199" s="8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8"/>
      <c r="W200" s="8"/>
      <c r="X200" s="8"/>
      <c r="Y200" s="8"/>
      <c r="Z200" s="8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8"/>
      <c r="W201" s="8"/>
      <c r="X201" s="8"/>
      <c r="Y201" s="8"/>
      <c r="Z201" s="8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8"/>
      <c r="W202" s="8"/>
      <c r="X202" s="8"/>
      <c r="Y202" s="8"/>
      <c r="Z202" s="8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8"/>
      <c r="W203" s="8"/>
      <c r="X203" s="8"/>
      <c r="Y203" s="8"/>
      <c r="Z203" s="8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8"/>
      <c r="W204" s="8"/>
      <c r="X204" s="8"/>
      <c r="Y204" s="8"/>
      <c r="Z204" s="8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8"/>
      <c r="W205" s="8"/>
      <c r="X205" s="8"/>
      <c r="Y205" s="8"/>
      <c r="Z205" s="8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8"/>
      <c r="W206" s="8"/>
      <c r="X206" s="8"/>
      <c r="Y206" s="8"/>
      <c r="Z206" s="8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8"/>
      <c r="W207" s="8"/>
      <c r="X207" s="8"/>
      <c r="Y207" s="8"/>
      <c r="Z207" s="8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8"/>
      <c r="W208" s="8"/>
      <c r="X208" s="8"/>
      <c r="Y208" s="8"/>
      <c r="Z208" s="8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8"/>
      <c r="W209" s="8"/>
      <c r="X209" s="8"/>
      <c r="Y209" s="8"/>
      <c r="Z209" s="8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8"/>
      <c r="W210" s="8"/>
      <c r="X210" s="8"/>
      <c r="Y210" s="8"/>
      <c r="Z210" s="8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8"/>
      <c r="W211" s="8"/>
      <c r="X211" s="8"/>
      <c r="Y211" s="8"/>
      <c r="Z211" s="8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8"/>
      <c r="W212" s="8"/>
      <c r="X212" s="8"/>
      <c r="Y212" s="8"/>
      <c r="Z212" s="8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8"/>
      <c r="W213" s="8"/>
      <c r="X213" s="8"/>
      <c r="Y213" s="8"/>
      <c r="Z213" s="8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8"/>
      <c r="W214" s="8"/>
      <c r="X214" s="8"/>
      <c r="Y214" s="8"/>
      <c r="Z214" s="8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8"/>
      <c r="W215" s="8"/>
      <c r="X215" s="8"/>
      <c r="Y215" s="8"/>
      <c r="Z215" s="8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8"/>
      <c r="W216" s="8"/>
      <c r="X216" s="8"/>
      <c r="Y216" s="8"/>
      <c r="Z216" s="8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8"/>
      <c r="W217" s="8"/>
      <c r="X217" s="8"/>
      <c r="Y217" s="8"/>
      <c r="Z217" s="8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8"/>
      <c r="W218" s="8"/>
      <c r="X218" s="8"/>
      <c r="Y218" s="8"/>
      <c r="Z218" s="8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8"/>
      <c r="W219" s="8"/>
      <c r="X219" s="8"/>
      <c r="Y219" s="8"/>
      <c r="Z219" s="8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8"/>
      <c r="W220" s="8"/>
      <c r="X220" s="8"/>
      <c r="Y220" s="8"/>
      <c r="Z220" s="8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8"/>
      <c r="W221" s="8"/>
      <c r="X221" s="8"/>
      <c r="Y221" s="8"/>
      <c r="Z221" s="8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8"/>
      <c r="W222" s="8"/>
      <c r="X222" s="8"/>
      <c r="Y222" s="8"/>
      <c r="Z222" s="8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8"/>
      <c r="W223" s="8"/>
      <c r="X223" s="8"/>
      <c r="Y223" s="8"/>
      <c r="Z223" s="8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8"/>
      <c r="W224" s="8"/>
      <c r="X224" s="8"/>
      <c r="Y224" s="8"/>
      <c r="Z224" s="8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8"/>
      <c r="W225" s="8"/>
      <c r="X225" s="8"/>
      <c r="Y225" s="8"/>
      <c r="Z225" s="8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8"/>
      <c r="W226" s="8"/>
      <c r="X226" s="8"/>
      <c r="Y226" s="8"/>
      <c r="Z226" s="8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8"/>
      <c r="W227" s="8"/>
      <c r="X227" s="8"/>
      <c r="Y227" s="8"/>
      <c r="Z227" s="8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8"/>
      <c r="W228" s="8"/>
      <c r="X228" s="8"/>
      <c r="Y228" s="8"/>
      <c r="Z228" s="8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8"/>
      <c r="W229" s="8"/>
      <c r="X229" s="8"/>
      <c r="Y229" s="8"/>
      <c r="Z229" s="8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8"/>
      <c r="W230" s="8"/>
      <c r="X230" s="8"/>
      <c r="Y230" s="8"/>
      <c r="Z230" s="8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8"/>
      <c r="W231" s="8"/>
      <c r="X231" s="8"/>
      <c r="Y231" s="8"/>
      <c r="Z231" s="8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8"/>
      <c r="W232" s="8"/>
      <c r="X232" s="8"/>
      <c r="Y232" s="8"/>
      <c r="Z232" s="8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8"/>
      <c r="W233" s="8"/>
      <c r="X233" s="8"/>
      <c r="Y233" s="8"/>
      <c r="Z233" s="8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8"/>
      <c r="W234" s="8"/>
      <c r="X234" s="8"/>
      <c r="Y234" s="8"/>
      <c r="Z234" s="8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8"/>
      <c r="W235" s="8"/>
      <c r="X235" s="8"/>
      <c r="Y235" s="8"/>
      <c r="Z235" s="8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8"/>
      <c r="W236" s="8"/>
      <c r="X236" s="8"/>
      <c r="Y236" s="8"/>
      <c r="Z236" s="8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8"/>
      <c r="W237" s="8"/>
      <c r="X237" s="8"/>
      <c r="Y237" s="8"/>
      <c r="Z237" s="8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8"/>
      <c r="W238" s="8"/>
      <c r="X238" s="8"/>
      <c r="Y238" s="8"/>
      <c r="Z238" s="8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8"/>
      <c r="W239" s="8"/>
      <c r="X239" s="8"/>
      <c r="Y239" s="8"/>
      <c r="Z239" s="8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8"/>
      <c r="W240" s="8"/>
      <c r="X240" s="8"/>
      <c r="Y240" s="8"/>
      <c r="Z240" s="8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8"/>
      <c r="W241" s="8"/>
      <c r="X241" s="8"/>
      <c r="Y241" s="8"/>
      <c r="Z241" s="8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8"/>
      <c r="W242" s="8"/>
      <c r="X242" s="8"/>
      <c r="Y242" s="8"/>
      <c r="Z242" s="8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8"/>
      <c r="W243" s="8"/>
      <c r="X243" s="8"/>
      <c r="Y243" s="8"/>
      <c r="Z243" s="8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8"/>
      <c r="W244" s="8"/>
      <c r="X244" s="8"/>
      <c r="Y244" s="8"/>
      <c r="Z244" s="8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8"/>
      <c r="W245" s="8"/>
      <c r="X245" s="8"/>
      <c r="Y245" s="8"/>
      <c r="Z245" s="8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8"/>
      <c r="W246" s="8"/>
      <c r="X246" s="8"/>
      <c r="Y246" s="8"/>
      <c r="Z246" s="8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8"/>
      <c r="W247" s="8"/>
      <c r="X247" s="8"/>
      <c r="Y247" s="8"/>
      <c r="Z247" s="8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8"/>
      <c r="W248" s="8"/>
      <c r="X248" s="8"/>
      <c r="Y248" s="8"/>
      <c r="Z248" s="8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8"/>
      <c r="W249" s="8"/>
      <c r="X249" s="8"/>
      <c r="Y249" s="8"/>
      <c r="Z249" s="8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8"/>
      <c r="W250" s="8"/>
      <c r="X250" s="8"/>
      <c r="Y250" s="8"/>
      <c r="Z250" s="8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8"/>
      <c r="W251" s="8"/>
      <c r="X251" s="8"/>
      <c r="Y251" s="8"/>
      <c r="Z251" s="8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8"/>
      <c r="W252" s="8"/>
      <c r="X252" s="8"/>
      <c r="Y252" s="8"/>
      <c r="Z252" s="8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8"/>
      <c r="W253" s="8"/>
      <c r="X253" s="8"/>
      <c r="Y253" s="8"/>
      <c r="Z253" s="8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8"/>
      <c r="W254" s="8"/>
      <c r="X254" s="8"/>
      <c r="Y254" s="8"/>
      <c r="Z254" s="8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8"/>
      <c r="W255" s="8"/>
      <c r="X255" s="8"/>
      <c r="Y255" s="8"/>
      <c r="Z255" s="8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8"/>
      <c r="W256" s="8"/>
      <c r="X256" s="8"/>
      <c r="Y256" s="8"/>
      <c r="Z256" s="8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8"/>
      <c r="W257" s="8"/>
      <c r="X257" s="8"/>
      <c r="Y257" s="8"/>
      <c r="Z257" s="8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8"/>
      <c r="W258" s="8"/>
      <c r="X258" s="8"/>
      <c r="Y258" s="8"/>
      <c r="Z258" s="8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8"/>
      <c r="W259" s="8"/>
      <c r="X259" s="8"/>
      <c r="Y259" s="8"/>
      <c r="Z259" s="8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8"/>
      <c r="W260" s="8"/>
      <c r="X260" s="8"/>
      <c r="Y260" s="8"/>
      <c r="Z260" s="8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8"/>
      <c r="W261" s="8"/>
      <c r="X261" s="8"/>
      <c r="Y261" s="8"/>
      <c r="Z261" s="8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8"/>
      <c r="W262" s="8"/>
      <c r="X262" s="8"/>
      <c r="Y262" s="8"/>
      <c r="Z262" s="8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8"/>
      <c r="W263" s="8"/>
      <c r="X263" s="8"/>
      <c r="Y263" s="8"/>
      <c r="Z263" s="8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8"/>
      <c r="W264" s="8"/>
      <c r="X264" s="8"/>
      <c r="Y264" s="8"/>
      <c r="Z264" s="8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8"/>
      <c r="W265" s="8"/>
      <c r="X265" s="8"/>
      <c r="Y265" s="8"/>
      <c r="Z265" s="8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8"/>
      <c r="W266" s="8"/>
      <c r="X266" s="8"/>
      <c r="Y266" s="8"/>
      <c r="Z266" s="8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60"/>
      <c r="B1" s="261" t="s">
        <v>172</v>
      </c>
      <c r="U1" s="260"/>
      <c r="V1" s="8"/>
      <c r="W1" s="8"/>
      <c r="X1" s="8"/>
      <c r="Y1" s="8"/>
      <c r="Z1" s="8"/>
    </row>
    <row r="2">
      <c r="A2" s="260"/>
      <c r="B2" s="262" t="s">
        <v>173</v>
      </c>
      <c r="U2" s="260"/>
      <c r="V2" s="8"/>
      <c r="W2" s="8"/>
      <c r="X2" s="8"/>
      <c r="Y2" s="8"/>
      <c r="Z2" s="8"/>
    </row>
    <row r="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8"/>
      <c r="W3" s="8"/>
      <c r="X3" s="8"/>
      <c r="Y3" s="8"/>
      <c r="Z3" s="8"/>
    </row>
    <row r="4">
      <c r="A4" s="260"/>
      <c r="B4" s="260" t="s">
        <v>174</v>
      </c>
      <c r="C4" s="260"/>
      <c r="D4" s="260" t="s">
        <v>6</v>
      </c>
      <c r="E4" s="260"/>
      <c r="F4" s="260"/>
      <c r="G4" s="260"/>
      <c r="H4" s="260"/>
      <c r="I4" s="260"/>
      <c r="J4" s="260"/>
      <c r="K4" s="260"/>
      <c r="L4" s="260"/>
      <c r="M4" s="260" t="s">
        <v>175</v>
      </c>
      <c r="N4" s="260"/>
      <c r="O4" s="260"/>
      <c r="P4" s="260"/>
      <c r="Q4" s="260"/>
      <c r="R4" s="260"/>
      <c r="S4" s="260"/>
      <c r="T4" s="260"/>
      <c r="U4" s="260"/>
      <c r="V4" s="8"/>
      <c r="W4" s="8"/>
      <c r="X4" s="8"/>
      <c r="Y4" s="8"/>
      <c r="Z4" s="8"/>
    </row>
    <row r="5">
      <c r="A5" s="260"/>
      <c r="B5" s="260" t="s">
        <v>176</v>
      </c>
      <c r="C5" s="260"/>
      <c r="D5" s="260" t="s">
        <v>6</v>
      </c>
      <c r="E5" s="260"/>
      <c r="F5" s="260"/>
      <c r="G5" s="260"/>
      <c r="H5" s="260"/>
      <c r="I5" s="260"/>
      <c r="J5" s="260"/>
      <c r="K5" s="260"/>
      <c r="L5" s="260"/>
      <c r="M5" s="260" t="s">
        <v>177</v>
      </c>
      <c r="N5" s="260"/>
      <c r="O5" s="260"/>
      <c r="P5" s="260"/>
      <c r="Q5" s="260"/>
      <c r="R5" s="260"/>
      <c r="S5" s="260"/>
      <c r="T5" s="260"/>
      <c r="U5" s="260"/>
      <c r="V5" s="8"/>
      <c r="W5" s="8"/>
      <c r="X5" s="8"/>
      <c r="Y5" s="8"/>
      <c r="Z5" s="8"/>
    </row>
    <row r="6">
      <c r="A6" s="260"/>
      <c r="B6" s="260" t="s">
        <v>178</v>
      </c>
      <c r="C6" s="260"/>
      <c r="D6" s="260" t="s">
        <v>6</v>
      </c>
      <c r="E6" s="260"/>
      <c r="F6" s="260"/>
      <c r="G6" s="260"/>
      <c r="H6" s="260"/>
      <c r="I6" s="260"/>
      <c r="J6" s="260"/>
      <c r="K6" s="260"/>
      <c r="L6" s="260"/>
      <c r="M6" s="260" t="s">
        <v>179</v>
      </c>
      <c r="N6" s="260"/>
      <c r="O6" s="260"/>
      <c r="P6" s="260"/>
      <c r="Q6" s="260"/>
      <c r="R6" s="260"/>
      <c r="S6" s="260"/>
      <c r="T6" s="260"/>
      <c r="U6" s="260"/>
      <c r="V6" s="8"/>
      <c r="W6" s="8"/>
      <c r="X6" s="8"/>
      <c r="Y6" s="8"/>
      <c r="Z6" s="8"/>
    </row>
    <row r="7">
      <c r="A7" s="260"/>
      <c r="B7" s="260" t="s">
        <v>180</v>
      </c>
      <c r="C7" s="260"/>
      <c r="D7" s="260" t="s">
        <v>6</v>
      </c>
      <c r="E7" s="260"/>
      <c r="F7" s="260"/>
      <c r="G7" s="260"/>
      <c r="H7" s="260"/>
      <c r="I7" s="260"/>
      <c r="J7" s="260"/>
      <c r="K7" s="260"/>
      <c r="L7" s="260"/>
      <c r="M7" s="8"/>
      <c r="N7" s="260"/>
      <c r="O7" s="260"/>
      <c r="P7" s="260"/>
      <c r="Q7" s="260"/>
      <c r="R7" s="260"/>
      <c r="S7" s="263"/>
      <c r="U7" s="260"/>
      <c r="V7" s="8"/>
      <c r="W7" s="8"/>
      <c r="X7" s="8"/>
      <c r="Y7" s="8"/>
      <c r="Z7" s="8"/>
    </row>
    <row r="8">
      <c r="A8" s="260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4"/>
      <c r="U8" s="260"/>
      <c r="V8" s="8"/>
      <c r="W8" s="8"/>
      <c r="X8" s="8"/>
      <c r="Y8" s="8"/>
      <c r="Z8" s="8"/>
    </row>
    <row r="9">
      <c r="A9" s="260"/>
      <c r="B9" s="265" t="s">
        <v>181</v>
      </c>
      <c r="C9" s="266" t="s">
        <v>182</v>
      </c>
      <c r="D9" s="5"/>
      <c r="E9" s="23"/>
      <c r="F9" s="267" t="s">
        <v>183</v>
      </c>
      <c r="G9" s="37"/>
      <c r="H9" s="37"/>
      <c r="I9" s="37"/>
      <c r="J9" s="37"/>
      <c r="K9" s="38"/>
      <c r="L9" s="267" t="s">
        <v>184</v>
      </c>
      <c r="M9" s="37"/>
      <c r="N9" s="37"/>
      <c r="O9" s="37"/>
      <c r="P9" s="37"/>
      <c r="Q9" s="37"/>
      <c r="R9" s="37"/>
      <c r="S9" s="38"/>
      <c r="T9" s="265" t="s">
        <v>185</v>
      </c>
      <c r="U9" s="260"/>
      <c r="V9" s="8"/>
      <c r="W9" s="8"/>
      <c r="X9" s="8"/>
      <c r="Y9" s="8"/>
      <c r="Z9" s="8"/>
    </row>
    <row r="10">
      <c r="A10" s="260"/>
      <c r="B10" s="12"/>
      <c r="C10" s="135"/>
      <c r="E10" s="109"/>
      <c r="F10" s="268" t="s">
        <v>186</v>
      </c>
      <c r="G10" s="268" t="s">
        <v>187</v>
      </c>
      <c r="H10" s="268" t="s">
        <v>188</v>
      </c>
      <c r="I10" s="269" t="s">
        <v>189</v>
      </c>
      <c r="J10" s="23"/>
      <c r="K10" s="268" t="s">
        <v>190</v>
      </c>
      <c r="L10" s="265" t="s">
        <v>191</v>
      </c>
      <c r="M10" s="265" t="s">
        <v>192</v>
      </c>
      <c r="N10" s="267" t="s">
        <v>193</v>
      </c>
      <c r="O10" s="37"/>
      <c r="P10" s="37"/>
      <c r="Q10" s="37"/>
      <c r="R10" s="37"/>
      <c r="S10" s="38"/>
      <c r="T10" s="12"/>
      <c r="U10" s="270"/>
      <c r="V10" s="8"/>
      <c r="W10" s="8"/>
      <c r="X10" s="8"/>
      <c r="Y10" s="8"/>
      <c r="Z10" s="8"/>
    </row>
    <row r="11">
      <c r="A11" s="260"/>
      <c r="B11" s="12"/>
      <c r="C11" s="135"/>
      <c r="E11" s="109"/>
      <c r="F11" s="12"/>
      <c r="G11" s="12"/>
      <c r="H11" s="12"/>
      <c r="I11" s="135"/>
      <c r="J11" s="109"/>
      <c r="K11" s="12"/>
      <c r="L11" s="12"/>
      <c r="M11" s="12"/>
      <c r="N11" s="267" t="s">
        <v>194</v>
      </c>
      <c r="O11" s="37"/>
      <c r="P11" s="38"/>
      <c r="Q11" s="267" t="s">
        <v>195</v>
      </c>
      <c r="R11" s="37"/>
      <c r="S11" s="38"/>
      <c r="T11" s="12"/>
      <c r="U11" s="270"/>
      <c r="V11" s="8"/>
      <c r="W11" s="8"/>
      <c r="X11" s="8"/>
      <c r="Y11" s="8"/>
      <c r="Z11" s="8"/>
    </row>
    <row r="12">
      <c r="A12" s="260"/>
      <c r="B12" s="18"/>
      <c r="C12" s="49"/>
      <c r="D12" s="11"/>
      <c r="E12" s="50"/>
      <c r="F12" s="18"/>
      <c r="G12" s="18"/>
      <c r="H12" s="18"/>
      <c r="I12" s="49"/>
      <c r="J12" s="50"/>
      <c r="K12" s="18"/>
      <c r="L12" s="18"/>
      <c r="M12" s="18"/>
      <c r="N12" s="271" t="s">
        <v>196</v>
      </c>
      <c r="O12" s="271" t="s">
        <v>197</v>
      </c>
      <c r="P12" s="271" t="s">
        <v>198</v>
      </c>
      <c r="Q12" s="271" t="s">
        <v>196</v>
      </c>
      <c r="R12" s="271" t="s">
        <v>199</v>
      </c>
      <c r="S12" s="271" t="s">
        <v>200</v>
      </c>
      <c r="T12" s="18"/>
      <c r="U12" s="260"/>
      <c r="V12" s="8"/>
      <c r="W12" s="8"/>
      <c r="X12" s="8"/>
      <c r="Y12" s="8"/>
      <c r="Z12" s="8"/>
    </row>
    <row r="13">
      <c r="A13" s="260"/>
      <c r="B13" s="272" t="s">
        <v>201</v>
      </c>
      <c r="C13" s="273" t="s">
        <v>202</v>
      </c>
      <c r="D13" s="37"/>
      <c r="E13" s="38"/>
      <c r="F13" s="272" t="s">
        <v>203</v>
      </c>
      <c r="G13" s="272" t="s">
        <v>204</v>
      </c>
      <c r="H13" s="272" t="s">
        <v>205</v>
      </c>
      <c r="I13" s="273" t="s">
        <v>206</v>
      </c>
      <c r="J13" s="38"/>
      <c r="K13" s="272" t="s">
        <v>207</v>
      </c>
      <c r="L13" s="272" t="s">
        <v>208</v>
      </c>
      <c r="M13" s="272" t="s">
        <v>209</v>
      </c>
      <c r="N13" s="272" t="s">
        <v>210</v>
      </c>
      <c r="O13" s="272" t="s">
        <v>211</v>
      </c>
      <c r="P13" s="272" t="s">
        <v>212</v>
      </c>
      <c r="Q13" s="272" t="s">
        <v>213</v>
      </c>
      <c r="R13" s="272" t="s">
        <v>214</v>
      </c>
      <c r="S13" s="272" t="s">
        <v>215</v>
      </c>
      <c r="T13" s="272" t="s">
        <v>216</v>
      </c>
      <c r="U13" s="260"/>
      <c r="V13" s="8"/>
      <c r="W13" s="8"/>
      <c r="X13" s="8"/>
      <c r="Y13" s="8"/>
      <c r="Z13" s="8"/>
    </row>
    <row r="14">
      <c r="A14" s="274"/>
      <c r="B14" s="275">
        <f>DPA!B31</f>
        <v>5</v>
      </c>
      <c r="C14" s="275" t="str">
        <f>DPA!C31</f>
        <v>BELANJA DAERAH</v>
      </c>
      <c r="D14" s="275"/>
      <c r="E14" s="275"/>
      <c r="F14" s="275"/>
      <c r="G14" s="275"/>
      <c r="H14" s="275"/>
      <c r="I14" s="275"/>
      <c r="J14" s="275"/>
      <c r="K14" s="276">
        <f>DPA!S31</f>
        <v>94371800</v>
      </c>
      <c r="L14" s="277"/>
      <c r="M14" s="277">
        <f t="shared" ref="M14:M15" si="1">K14</f>
        <v>94371800</v>
      </c>
      <c r="N14" s="278"/>
      <c r="O14" s="278"/>
      <c r="P14" s="278"/>
      <c r="Q14" s="278"/>
      <c r="R14" s="277"/>
      <c r="S14" s="277"/>
      <c r="T14" s="277"/>
      <c r="U14" s="279"/>
      <c r="V14" s="72"/>
      <c r="W14" s="72"/>
      <c r="X14" s="72"/>
      <c r="Y14" s="72"/>
      <c r="Z14" s="72"/>
    </row>
    <row r="15">
      <c r="A15" s="274"/>
      <c r="B15" s="275" t="str">
        <f>DPA!B32</f>
        <v>5.1</v>
      </c>
      <c r="C15" s="275" t="str">
        <f>DPA!C32</f>
        <v>BELANJA OPERASI</v>
      </c>
      <c r="D15" s="275"/>
      <c r="E15" s="275"/>
      <c r="F15" s="277"/>
      <c r="G15" s="280"/>
      <c r="H15" s="280"/>
      <c r="I15" s="280"/>
      <c r="J15" s="280"/>
      <c r="K15" s="276">
        <f>DPA!S32</f>
        <v>32999400</v>
      </c>
      <c r="L15" s="277"/>
      <c r="M15" s="277">
        <f t="shared" si="1"/>
        <v>32999400</v>
      </c>
      <c r="N15" s="278"/>
      <c r="O15" s="278"/>
      <c r="P15" s="278"/>
      <c r="Q15" s="278"/>
      <c r="R15" s="277"/>
      <c r="S15" s="277"/>
      <c r="T15" s="277"/>
      <c r="U15" s="279"/>
      <c r="V15" s="72"/>
      <c r="W15" s="72"/>
      <c r="X15" s="72"/>
      <c r="Y15" s="72"/>
      <c r="Z15" s="72"/>
    </row>
    <row r="16">
      <c r="A16" s="274"/>
      <c r="B16" s="275"/>
      <c r="C16" s="275"/>
      <c r="D16" s="275"/>
      <c r="E16" s="275"/>
      <c r="F16" s="277"/>
      <c r="G16" s="280"/>
      <c r="H16" s="280"/>
      <c r="I16" s="280"/>
      <c r="J16" s="280"/>
      <c r="K16" s="276"/>
      <c r="L16" s="277"/>
      <c r="M16" s="277"/>
      <c r="N16" s="278"/>
      <c r="O16" s="278"/>
      <c r="P16" s="278"/>
      <c r="Q16" s="278"/>
      <c r="R16" s="277"/>
      <c r="S16" s="277"/>
      <c r="T16" s="277"/>
      <c r="U16" s="279"/>
      <c r="V16" s="72"/>
      <c r="W16" s="72"/>
      <c r="X16" s="72"/>
      <c r="Y16" s="72"/>
      <c r="Z16" s="72"/>
    </row>
    <row r="17">
      <c r="A17" s="274"/>
      <c r="B17" s="275" t="str">
        <f>DPA!B34</f>
        <v> 5.2.2.</v>
      </c>
      <c r="C17" s="275" t="str">
        <f>DPA!C34</f>
        <v> Belanja Barang dan Jasa</v>
      </c>
      <c r="D17" s="275"/>
      <c r="E17" s="275"/>
      <c r="F17" s="277"/>
      <c r="G17" s="280"/>
      <c r="H17" s="280"/>
      <c r="I17" s="280"/>
      <c r="J17" s="280"/>
      <c r="K17" s="276">
        <f>DPA!S34</f>
        <v>32999400</v>
      </c>
      <c r="L17" s="277"/>
      <c r="M17" s="277">
        <f>K17</f>
        <v>32999400</v>
      </c>
      <c r="N17" s="278"/>
      <c r="O17" s="278"/>
      <c r="P17" s="278"/>
      <c r="Q17" s="278"/>
      <c r="R17" s="185"/>
      <c r="S17" s="185"/>
      <c r="T17" s="277"/>
      <c r="U17" s="279"/>
      <c r="V17" s="72"/>
      <c r="W17" s="72"/>
      <c r="X17" s="72"/>
      <c r="Y17" s="72"/>
      <c r="Z17" s="72"/>
    </row>
    <row r="18">
      <c r="A18" s="274"/>
      <c r="B18" s="275"/>
      <c r="C18" s="275"/>
      <c r="D18" s="275"/>
      <c r="E18" s="275"/>
      <c r="F18" s="277"/>
      <c r="G18" s="280"/>
      <c r="H18" s="280"/>
      <c r="I18" s="280"/>
      <c r="J18" s="280"/>
      <c r="K18" s="276"/>
      <c r="L18" s="277"/>
      <c r="M18" s="277"/>
      <c r="N18" s="278"/>
      <c r="O18" s="278"/>
      <c r="P18" s="278"/>
      <c r="Q18" s="278"/>
      <c r="R18" s="277"/>
      <c r="S18" s="278"/>
      <c r="T18" s="277"/>
      <c r="U18" s="279"/>
      <c r="V18" s="72"/>
      <c r="W18" s="72"/>
      <c r="X18" s="72"/>
      <c r="Y18" s="72"/>
      <c r="Z18" s="72"/>
    </row>
    <row r="19">
      <c r="A19" s="274"/>
      <c r="B19" s="275" t="str">
        <f>DPA!B36</f>
        <v> 5.2.2.01</v>
      </c>
      <c r="C19" s="275" t="str">
        <f>DPA!C36</f>
        <v>Belanja Bahan Pakai Habis</v>
      </c>
      <c r="D19" s="275"/>
      <c r="E19" s="275"/>
      <c r="F19" s="277"/>
      <c r="G19" s="280"/>
      <c r="H19" s="280"/>
      <c r="I19" s="280"/>
      <c r="J19" s="280"/>
      <c r="K19" s="276">
        <f>DPA!S36</f>
        <v>1791400</v>
      </c>
      <c r="L19" s="277"/>
      <c r="M19" s="277">
        <f>K19</f>
        <v>1791400</v>
      </c>
      <c r="N19" s="278"/>
      <c r="O19" s="278"/>
      <c r="P19" s="278"/>
      <c r="Q19" s="278"/>
      <c r="R19" s="277"/>
      <c r="S19" s="278"/>
      <c r="T19" s="277"/>
      <c r="U19" s="279"/>
      <c r="V19" s="72"/>
      <c r="W19" s="72"/>
      <c r="X19" s="72"/>
      <c r="Y19" s="72"/>
      <c r="Z19" s="72"/>
    </row>
    <row r="20">
      <c r="A20" s="260"/>
      <c r="B20" s="275"/>
      <c r="C20" s="275"/>
      <c r="D20" s="275"/>
      <c r="E20" s="275"/>
      <c r="F20" s="281"/>
      <c r="G20" s="282"/>
      <c r="H20" s="282"/>
      <c r="I20" s="282"/>
      <c r="J20" s="282"/>
      <c r="K20" s="276"/>
      <c r="L20" s="281"/>
      <c r="M20" s="277"/>
      <c r="N20" s="283"/>
      <c r="O20" s="283"/>
      <c r="P20" s="278"/>
      <c r="Q20" s="283"/>
      <c r="R20" s="277"/>
      <c r="S20" s="278"/>
      <c r="T20" s="277"/>
      <c r="U20" s="270"/>
      <c r="V20" s="8"/>
      <c r="W20" s="8"/>
      <c r="X20" s="8"/>
      <c r="Y20" s="8"/>
      <c r="Z20" s="8"/>
    </row>
    <row r="21" ht="15.75" customHeight="1">
      <c r="A21" s="260"/>
      <c r="B21" s="275" t="str">
        <f>DPA!B38</f>
        <v>5.1.02.01.01.0024</v>
      </c>
      <c r="C21" s="275" t="str">
        <f>DPA!C38</f>
        <v>Belanja Alat/Bahan untuk Kegiatan Kantor-Alat Tulis Kantor</v>
      </c>
      <c r="D21" s="275"/>
      <c r="E21" s="275"/>
      <c r="F21" s="281"/>
      <c r="G21" s="282"/>
      <c r="H21" s="282"/>
      <c r="I21" s="282"/>
      <c r="J21" s="282"/>
      <c r="K21" s="276">
        <f>DPA!S38</f>
        <v>656000</v>
      </c>
      <c r="L21" s="277"/>
      <c r="M21" s="277">
        <f t="shared" ref="M21:M28" si="2">K21</f>
        <v>656000</v>
      </c>
      <c r="N21" s="278"/>
      <c r="O21" s="278"/>
      <c r="P21" s="278"/>
      <c r="Q21" s="278"/>
      <c r="R21" s="277"/>
      <c r="S21" s="278"/>
      <c r="T21" s="277"/>
      <c r="U21" s="270"/>
      <c r="V21" s="8"/>
      <c r="W21" s="8"/>
      <c r="X21" s="8"/>
      <c r="Y21" s="8"/>
      <c r="Z21" s="8"/>
    </row>
    <row r="22" ht="15.75" customHeight="1">
      <c r="A22" s="260"/>
      <c r="B22" s="275"/>
      <c r="C22" s="275"/>
      <c r="D22" s="284" t="str">
        <f>DPA!D39</f>
        <v>-</v>
      </c>
      <c r="E22" s="285" t="str">
        <f>DPA!E39</f>
        <v>Alat Tulis Kantor
Spesifikasi : Stof Map Folio</v>
      </c>
      <c r="F22" s="281"/>
      <c r="G22" s="282"/>
      <c r="H22" s="282"/>
      <c r="I22" s="282"/>
      <c r="J22" s="282"/>
      <c r="K22" s="276">
        <f>DPA!S39</f>
        <v>330000</v>
      </c>
      <c r="L22" s="277"/>
      <c r="M22" s="277">
        <f t="shared" si="2"/>
        <v>330000</v>
      </c>
      <c r="N22" s="278"/>
      <c r="O22" s="278"/>
      <c r="P22" s="278"/>
      <c r="Q22" s="278"/>
      <c r="R22" s="277"/>
      <c r="S22" s="278"/>
      <c r="T22" s="277"/>
      <c r="U22" s="270"/>
      <c r="V22" s="8"/>
      <c r="W22" s="8"/>
      <c r="X22" s="8"/>
      <c r="Y22" s="8"/>
      <c r="Z22" s="8"/>
    </row>
    <row r="23" ht="15.75" customHeight="1">
      <c r="A23" s="260"/>
      <c r="B23" s="275"/>
      <c r="C23" s="275"/>
      <c r="D23" s="284" t="str">
        <f>DPA!D40</f>
        <v>-</v>
      </c>
      <c r="E23" s="285" t="str">
        <f>DPA!E40</f>
        <v>Alat Tulis Kantor
Spesifikasi : Trigonal Clip No. 5 Atom</v>
      </c>
      <c r="F23" s="281"/>
      <c r="G23" s="282"/>
      <c r="H23" s="283"/>
      <c r="I23" s="282"/>
      <c r="J23" s="282"/>
      <c r="K23" s="276">
        <f>DPA!S40</f>
        <v>66000</v>
      </c>
      <c r="L23" s="281"/>
      <c r="M23" s="277">
        <f t="shared" si="2"/>
        <v>66000</v>
      </c>
      <c r="N23" s="283"/>
      <c r="O23" s="283"/>
      <c r="P23" s="283"/>
      <c r="Q23" s="283"/>
      <c r="R23" s="281"/>
      <c r="S23" s="283"/>
      <c r="T23" s="277"/>
      <c r="U23" s="270"/>
      <c r="V23" s="8"/>
      <c r="W23" s="8"/>
      <c r="X23" s="8"/>
      <c r="Y23" s="8"/>
      <c r="Z23" s="8"/>
    </row>
    <row r="24" ht="15.75" customHeight="1">
      <c r="A24" s="260"/>
      <c r="B24" s="275"/>
      <c r="C24" s="275"/>
      <c r="D24" s="284" t="str">
        <f>DPA!D41</f>
        <v>-</v>
      </c>
      <c r="E24" s="285" t="str">
        <f>DPA!E41</f>
        <v>Alat Tulis Kantor
Spesifikasi : Box File Jumbo Bantex</v>
      </c>
      <c r="F24" s="281"/>
      <c r="G24" s="272"/>
      <c r="H24" s="282"/>
      <c r="I24" s="282"/>
      <c r="J24" s="282"/>
      <c r="K24" s="276">
        <f>DPA!S41</f>
        <v>260000</v>
      </c>
      <c r="L24" s="281"/>
      <c r="M24" s="277">
        <f t="shared" si="2"/>
        <v>260000</v>
      </c>
      <c r="N24" s="283"/>
      <c r="O24" s="283"/>
      <c r="P24" s="283"/>
      <c r="Q24" s="283"/>
      <c r="R24" s="281"/>
      <c r="S24" s="283"/>
      <c r="T24" s="277"/>
      <c r="U24" s="260"/>
      <c r="V24" s="8"/>
      <c r="W24" s="8"/>
      <c r="X24" s="8"/>
      <c r="Y24" s="8"/>
      <c r="Z24" s="8"/>
    </row>
    <row r="25" ht="12.75" customHeight="1">
      <c r="A25" s="260"/>
      <c r="B25" s="275"/>
      <c r="C25" s="275"/>
      <c r="D25" s="275"/>
      <c r="E25" s="275"/>
      <c r="F25" s="281"/>
      <c r="G25" s="272"/>
      <c r="H25" s="282"/>
      <c r="I25" s="282"/>
      <c r="J25" s="282"/>
      <c r="K25" s="276" t="str">
        <f>DPA!S42</f>
        <v/>
      </c>
      <c r="L25" s="281"/>
      <c r="M25" s="277" t="str">
        <f t="shared" si="2"/>
        <v/>
      </c>
      <c r="N25" s="283"/>
      <c r="O25" s="283"/>
      <c r="P25" s="283"/>
      <c r="Q25" s="283"/>
      <c r="R25" s="281"/>
      <c r="S25" s="283"/>
      <c r="T25" s="277"/>
      <c r="U25" s="260"/>
      <c r="V25" s="8"/>
      <c r="W25" s="8"/>
      <c r="X25" s="8"/>
      <c r="Y25" s="8"/>
      <c r="Z25" s="8"/>
    </row>
    <row r="26" ht="15.75" customHeight="1">
      <c r="A26" s="260"/>
      <c r="B26" s="275" t="str">
        <f>DPA!B43</f>
        <v>5.1.02.01.01.0025</v>
      </c>
      <c r="C26" s="275" t="str">
        <f>DPA!C43</f>
        <v>Belanja Alat/Bahan untuk Kegiatan Kantor- Kertas dan Cover</v>
      </c>
      <c r="D26" s="275"/>
      <c r="E26" s="275"/>
      <c r="F26" s="281"/>
      <c r="G26" s="272"/>
      <c r="H26" s="282"/>
      <c r="I26" s="282"/>
      <c r="J26" s="282"/>
      <c r="K26" s="276">
        <f>DPA!S43</f>
        <v>441400</v>
      </c>
      <c r="L26" s="281"/>
      <c r="M26" s="277">
        <f t="shared" si="2"/>
        <v>441400</v>
      </c>
      <c r="N26" s="283"/>
      <c r="O26" s="283"/>
      <c r="P26" s="283"/>
      <c r="Q26" s="283"/>
      <c r="R26" s="281"/>
      <c r="S26" s="283"/>
      <c r="T26" s="277"/>
      <c r="U26" s="260"/>
      <c r="V26" s="8"/>
      <c r="W26" s="8"/>
      <c r="X26" s="8"/>
      <c r="Y26" s="8"/>
      <c r="Z26" s="8"/>
    </row>
    <row r="27" ht="15.75" customHeight="1">
      <c r="A27" s="260"/>
      <c r="B27" s="275"/>
      <c r="C27" s="275"/>
      <c r="D27" s="284" t="str">
        <f>DPA!D44</f>
        <v>-</v>
      </c>
      <c r="E27" s="285" t="str">
        <f>DPA!E44</f>
        <v>Kertas dan Cover
Spesifikasi : Kertas HVS A4 70 gr</v>
      </c>
      <c r="F27" s="281"/>
      <c r="G27" s="272"/>
      <c r="H27" s="282"/>
      <c r="I27" s="282"/>
      <c r="J27" s="282"/>
      <c r="K27" s="276">
        <f>DPA!S44</f>
        <v>164800</v>
      </c>
      <c r="L27" s="281"/>
      <c r="M27" s="277">
        <f t="shared" si="2"/>
        <v>164800</v>
      </c>
      <c r="N27" s="283"/>
      <c r="O27" s="283"/>
      <c r="P27" s="283"/>
      <c r="Q27" s="283"/>
      <c r="R27" s="281"/>
      <c r="S27" s="283"/>
      <c r="T27" s="277"/>
      <c r="U27" s="260"/>
      <c r="V27" s="8"/>
      <c r="W27" s="8"/>
      <c r="X27" s="8"/>
      <c r="Y27" s="8"/>
      <c r="Z27" s="8"/>
    </row>
    <row r="28" ht="15.75" customHeight="1">
      <c r="A28" s="260"/>
      <c r="B28" s="275"/>
      <c r="C28" s="275"/>
      <c r="D28" s="284" t="str">
        <f>DPA!D45</f>
        <v>-</v>
      </c>
      <c r="E28" s="285" t="str">
        <f>DPA!E45</f>
        <v>Kertas dan Cover
Spesifikasi : Kertas HVS F4 70 gr</v>
      </c>
      <c r="F28" s="281"/>
      <c r="G28" s="272"/>
      <c r="H28" s="282"/>
      <c r="I28" s="282"/>
      <c r="J28" s="282"/>
      <c r="K28" s="276">
        <f>DPA!S45</f>
        <v>276600</v>
      </c>
      <c r="L28" s="281"/>
      <c r="M28" s="277">
        <f t="shared" si="2"/>
        <v>276600</v>
      </c>
      <c r="N28" s="283"/>
      <c r="O28" s="283"/>
      <c r="P28" s="283"/>
      <c r="Q28" s="283"/>
      <c r="R28" s="281"/>
      <c r="S28" s="283"/>
      <c r="T28" s="277"/>
      <c r="U28" s="260"/>
      <c r="V28" s="8"/>
      <c r="W28" s="8"/>
      <c r="X28" s="8"/>
      <c r="Y28" s="8"/>
      <c r="Z28" s="8"/>
    </row>
    <row r="29" ht="15.75" customHeight="1">
      <c r="A29" s="260"/>
      <c r="B29" s="275"/>
      <c r="C29" s="275"/>
      <c r="D29" s="275"/>
      <c r="E29" s="275"/>
      <c r="F29" s="281"/>
      <c r="G29" s="272"/>
      <c r="H29" s="282"/>
      <c r="I29" s="282"/>
      <c r="J29" s="282"/>
      <c r="K29" s="276"/>
      <c r="L29" s="281"/>
      <c r="M29" s="277"/>
      <c r="N29" s="283"/>
      <c r="O29" s="283"/>
      <c r="P29" s="283"/>
      <c r="Q29" s="283"/>
      <c r="R29" s="281"/>
      <c r="S29" s="283"/>
      <c r="T29" s="277"/>
      <c r="U29" s="260"/>
      <c r="V29" s="8"/>
      <c r="W29" s="8"/>
      <c r="X29" s="8"/>
      <c r="Y29" s="8"/>
      <c r="Z29" s="8"/>
    </row>
    <row r="30" ht="15.75" customHeight="1">
      <c r="A30" s="260"/>
      <c r="B30" s="275" t="str">
        <f>DPA!B47</f>
        <v>5.1.02.01.01.0026</v>
      </c>
      <c r="C30" s="275" t="str">
        <f>DPA!C47</f>
        <v>Belanja Alat/Bahan untuk Kegiatan Kantor- Bahan Cetak</v>
      </c>
      <c r="D30" s="275"/>
      <c r="E30" s="275"/>
      <c r="F30" s="281"/>
      <c r="G30" s="272"/>
      <c r="H30" s="282"/>
      <c r="I30" s="282"/>
      <c r="J30" s="282"/>
      <c r="K30" s="276">
        <f>DPA!S47</f>
        <v>544000</v>
      </c>
      <c r="L30" s="281"/>
      <c r="M30" s="277">
        <f t="shared" ref="M30:M31" si="3">K30</f>
        <v>544000</v>
      </c>
      <c r="N30" s="283"/>
      <c r="O30" s="283"/>
      <c r="P30" s="283"/>
      <c r="Q30" s="283"/>
      <c r="R30" s="281"/>
      <c r="S30" s="283"/>
      <c r="T30" s="277"/>
      <c r="U30" s="260"/>
      <c r="V30" s="8"/>
      <c r="W30" s="8"/>
      <c r="X30" s="8"/>
      <c r="Y30" s="8"/>
      <c r="Z30" s="8"/>
    </row>
    <row r="31" ht="15.75" customHeight="1">
      <c r="A31" s="260"/>
      <c r="B31" s="275"/>
      <c r="C31" s="275"/>
      <c r="D31" s="284" t="str">
        <f>DPA!D48</f>
        <v>-</v>
      </c>
      <c r="E31" s="285" t="str">
        <f>DPA!E48</f>
        <v>Foto Copy
Spesifikasi : Foto copy Hitam Putih-HVS
A4/F4</v>
      </c>
      <c r="F31" s="281"/>
      <c r="G31" s="272"/>
      <c r="H31" s="282"/>
      <c r="I31" s="282"/>
      <c r="J31" s="282"/>
      <c r="K31" s="276">
        <f>DPA!S48</f>
        <v>544000</v>
      </c>
      <c r="L31" s="277"/>
      <c r="M31" s="277">
        <f t="shared" si="3"/>
        <v>544000</v>
      </c>
      <c r="N31" s="278"/>
      <c r="O31" s="278"/>
      <c r="P31" s="278"/>
      <c r="Q31" s="278"/>
      <c r="R31" s="277"/>
      <c r="S31" s="278"/>
      <c r="T31" s="277"/>
      <c r="U31" s="260"/>
      <c r="V31" s="8"/>
      <c r="W31" s="8"/>
      <c r="X31" s="8"/>
      <c r="Y31" s="8"/>
      <c r="Z31" s="8"/>
    </row>
    <row r="32" ht="15.75" customHeight="1">
      <c r="A32" s="260"/>
      <c r="B32" s="275"/>
      <c r="C32" s="275"/>
      <c r="D32" s="275"/>
      <c r="E32" s="275"/>
      <c r="F32" s="281"/>
      <c r="G32" s="272"/>
      <c r="H32" s="282"/>
      <c r="I32" s="282"/>
      <c r="J32" s="282"/>
      <c r="K32" s="276"/>
      <c r="L32" s="281"/>
      <c r="M32" s="277"/>
      <c r="N32" s="283"/>
      <c r="O32" s="283"/>
      <c r="P32" s="283"/>
      <c r="Q32" s="283"/>
      <c r="R32" s="281"/>
      <c r="S32" s="283"/>
      <c r="T32" s="277"/>
      <c r="U32" s="260"/>
      <c r="V32" s="8"/>
      <c r="W32" s="8"/>
      <c r="X32" s="8"/>
      <c r="Y32" s="8"/>
      <c r="Z32" s="8"/>
    </row>
    <row r="33" ht="15.75" customHeight="1">
      <c r="A33" s="260"/>
      <c r="B33" s="275" t="str">
        <f>DPA!B50</f>
        <v>5.1.02.01.01.0027</v>
      </c>
      <c r="C33" s="275" t="str">
        <f>DPA!C50</f>
        <v>Belanja Alat/Bahan untuk Kegiatan Kantor-Benda Pos</v>
      </c>
      <c r="D33" s="275"/>
      <c r="E33" s="275"/>
      <c r="F33" s="281"/>
      <c r="G33" s="272"/>
      <c r="H33" s="282"/>
      <c r="I33" s="282"/>
      <c r="J33" s="282"/>
      <c r="K33" s="276">
        <f>DPA!S50</f>
        <v>150000</v>
      </c>
      <c r="L33" s="281"/>
      <c r="M33" s="277">
        <f t="shared" ref="M33:M34" si="4">K33</f>
        <v>150000</v>
      </c>
      <c r="N33" s="283"/>
      <c r="O33" s="283"/>
      <c r="P33" s="283"/>
      <c r="Q33" s="283"/>
      <c r="R33" s="281"/>
      <c r="S33" s="283"/>
      <c r="T33" s="277"/>
      <c r="U33" s="260"/>
      <c r="V33" s="8"/>
      <c r="W33" s="8"/>
      <c r="X33" s="8"/>
      <c r="Y33" s="8"/>
      <c r="Z33" s="8"/>
    </row>
    <row r="34" ht="15.75" customHeight="1">
      <c r="A34" s="260"/>
      <c r="B34" s="275"/>
      <c r="C34" s="275"/>
      <c r="D34" s="284" t="str">
        <f>DPA!D51</f>
        <v>-</v>
      </c>
      <c r="E34" s="284" t="str">
        <f>DPA!E51</f>
        <v>Materai
Spesifikasi: Materai 10.000</v>
      </c>
      <c r="F34" s="281"/>
      <c r="G34" s="272"/>
      <c r="H34" s="282"/>
      <c r="I34" s="282"/>
      <c r="J34" s="282"/>
      <c r="K34" s="276">
        <f>DPA!S51</f>
        <v>150000</v>
      </c>
      <c r="L34" s="281"/>
      <c r="M34" s="277">
        <f t="shared" si="4"/>
        <v>150000</v>
      </c>
      <c r="N34" s="283"/>
      <c r="O34" s="283"/>
      <c r="P34" s="283"/>
      <c r="Q34" s="283"/>
      <c r="R34" s="281"/>
      <c r="S34" s="283"/>
      <c r="T34" s="277"/>
      <c r="U34" s="260"/>
      <c r="V34" s="8"/>
      <c r="W34" s="8"/>
      <c r="X34" s="8"/>
      <c r="Y34" s="8"/>
      <c r="Z34" s="8"/>
    </row>
    <row r="35" ht="15.75" customHeight="1">
      <c r="A35" s="274"/>
      <c r="B35" s="275"/>
      <c r="C35" s="275"/>
      <c r="D35" s="275"/>
      <c r="E35" s="275"/>
      <c r="F35" s="277"/>
      <c r="G35" s="271"/>
      <c r="H35" s="280"/>
      <c r="I35" s="280"/>
      <c r="J35" s="280"/>
      <c r="K35" s="276"/>
      <c r="L35" s="277"/>
      <c r="M35" s="277"/>
      <c r="N35" s="278"/>
      <c r="O35" s="278"/>
      <c r="P35" s="278"/>
      <c r="Q35" s="278"/>
      <c r="R35" s="277"/>
      <c r="S35" s="278"/>
      <c r="T35" s="277"/>
      <c r="U35" s="274"/>
      <c r="V35" s="72"/>
      <c r="W35" s="72"/>
      <c r="X35" s="72"/>
      <c r="Y35" s="72"/>
      <c r="Z35" s="72"/>
    </row>
    <row r="36" ht="15.75" customHeight="1">
      <c r="A36" s="260"/>
      <c r="B36" s="275" t="str">
        <f>DPA!B53</f>
        <v>5.1.02.04</v>
      </c>
      <c r="C36" s="275" t="str">
        <f>DPA!C53</f>
        <v>Belanja Perjalanan Dinas</v>
      </c>
      <c r="D36" s="275"/>
      <c r="E36" s="275"/>
      <c r="F36" s="281"/>
      <c r="G36" s="272"/>
      <c r="H36" s="282"/>
      <c r="I36" s="282"/>
      <c r="J36" s="282"/>
      <c r="K36" s="276">
        <f>DPA!S53</f>
        <v>31208000</v>
      </c>
      <c r="L36" s="277"/>
      <c r="M36" s="277">
        <f t="shared" ref="M36:M43" si="5">K36</f>
        <v>31208000</v>
      </c>
      <c r="N36" s="278"/>
      <c r="O36" s="278"/>
      <c r="P36" s="278"/>
      <c r="Q36" s="278"/>
      <c r="R36" s="277"/>
      <c r="S36" s="278"/>
      <c r="T36" s="277"/>
      <c r="U36" s="260"/>
      <c r="V36" s="8"/>
      <c r="W36" s="8"/>
      <c r="X36" s="8"/>
      <c r="Y36" s="8"/>
      <c r="Z36" s="8"/>
    </row>
    <row r="37" ht="15.75" hidden="1" customHeight="1">
      <c r="A37" s="260"/>
      <c r="B37" s="275" t="str">
        <f>DPA!B54</f>
        <v>5.1.02.04.01</v>
      </c>
      <c r="C37" s="275" t="str">
        <f>DPA!C54</f>
        <v>Belanja Perjalanan Dinas Dalam Negeri</v>
      </c>
      <c r="D37" s="275" t="str">
        <f>DPA!D54</f>
        <v/>
      </c>
      <c r="E37" s="275" t="str">
        <f>DPA!E54</f>
        <v/>
      </c>
      <c r="F37" s="281"/>
      <c r="G37" s="272"/>
      <c r="H37" s="282"/>
      <c r="I37" s="282"/>
      <c r="J37" s="282"/>
      <c r="K37" s="276">
        <f>DPA!S54</f>
        <v>31208000</v>
      </c>
      <c r="L37" s="281"/>
      <c r="M37" s="277">
        <f t="shared" si="5"/>
        <v>31208000</v>
      </c>
      <c r="N37" s="283"/>
      <c r="O37" s="283"/>
      <c r="P37" s="283"/>
      <c r="Q37" s="283"/>
      <c r="R37" s="281"/>
      <c r="S37" s="283"/>
      <c r="T37" s="277"/>
      <c r="U37" s="260"/>
      <c r="V37" s="8"/>
      <c r="W37" s="8"/>
      <c r="X37" s="8"/>
      <c r="Y37" s="8"/>
      <c r="Z37" s="8"/>
    </row>
    <row r="38" ht="15.75" hidden="1" customHeight="1">
      <c r="A38" s="260"/>
      <c r="B38" s="275" t="str">
        <f>DPA!B55</f>
        <v>5.1.02.04.01.0001</v>
      </c>
      <c r="C38" s="275" t="str">
        <f>DPA!C55</f>
        <v>Belanja Perjalanan Dinas Biasa</v>
      </c>
      <c r="D38" s="275" t="str">
        <f>DPA!D55</f>
        <v/>
      </c>
      <c r="E38" s="275" t="str">
        <f>DPA!E55</f>
        <v/>
      </c>
      <c r="F38" s="281"/>
      <c r="G38" s="272"/>
      <c r="H38" s="282"/>
      <c r="I38" s="282"/>
      <c r="J38" s="282"/>
      <c r="K38" s="276">
        <f>DPA!S55</f>
        <v>31208000</v>
      </c>
      <c r="L38" s="281"/>
      <c r="M38" s="277">
        <f t="shared" si="5"/>
        <v>31208000</v>
      </c>
      <c r="N38" s="283"/>
      <c r="O38" s="283"/>
      <c r="P38" s="283"/>
      <c r="Q38" s="283"/>
      <c r="R38" s="281"/>
      <c r="S38" s="283"/>
      <c r="T38" s="277"/>
      <c r="U38" s="260"/>
      <c r="V38" s="8"/>
      <c r="W38" s="8"/>
      <c r="X38" s="8"/>
      <c r="Y38" s="8"/>
      <c r="Z38" s="8"/>
    </row>
    <row r="39" ht="15.75" customHeight="1">
      <c r="A39" s="260"/>
      <c r="B39" s="275"/>
      <c r="C39" s="275"/>
      <c r="D39" s="284" t="str">
        <f>DPA!D56</f>
        <v>-</v>
      </c>
      <c r="E39" s="285" t="str">
        <f>DPA!E56</f>
        <v>Penginapan Dalam Negeri di- D.K.I. JAKARTA
Spesifikasi: PEJABAT ESELON III / GOLONGAN IV</v>
      </c>
      <c r="F39" s="281"/>
      <c r="G39" s="272"/>
      <c r="H39" s="282"/>
      <c r="I39" s="282"/>
      <c r="J39" s="282"/>
      <c r="K39" s="276">
        <f>DPA!S56</f>
        <v>7936000</v>
      </c>
      <c r="L39" s="281"/>
      <c r="M39" s="277">
        <f t="shared" si="5"/>
        <v>7936000</v>
      </c>
      <c r="N39" s="283"/>
      <c r="O39" s="283"/>
      <c r="P39" s="283"/>
      <c r="Q39" s="283"/>
      <c r="R39" s="281"/>
      <c r="S39" s="283"/>
      <c r="T39" s="277"/>
      <c r="U39" s="260"/>
      <c r="V39" s="8"/>
      <c r="W39" s="8"/>
      <c r="X39" s="8"/>
      <c r="Y39" s="8"/>
      <c r="Z39" s="8"/>
    </row>
    <row r="40" ht="15.75" customHeight="1">
      <c r="A40" s="274"/>
      <c r="B40" s="275"/>
      <c r="C40" s="275"/>
      <c r="D40" s="284" t="str">
        <f>DPA!D57</f>
        <v>-</v>
      </c>
      <c r="E40" s="285" t="str">
        <f>DPA!E57</f>
        <v>Taxi dari/ke Bandara - Perjalanan Dinas Dalam Negeri
Spesifikasi: BALI</v>
      </c>
      <c r="F40" s="277"/>
      <c r="G40" s="271"/>
      <c r="H40" s="280"/>
      <c r="I40" s="280"/>
      <c r="J40" s="280"/>
      <c r="K40" s="276">
        <f>DPA!S57</f>
        <v>1816000</v>
      </c>
      <c r="L40" s="277"/>
      <c r="M40" s="277">
        <f t="shared" si="5"/>
        <v>1816000</v>
      </c>
      <c r="N40" s="278"/>
      <c r="O40" s="278"/>
      <c r="P40" s="278"/>
      <c r="Q40" s="278"/>
      <c r="R40" s="277"/>
      <c r="S40" s="278"/>
      <c r="T40" s="277"/>
      <c r="U40" s="274"/>
      <c r="V40" s="72"/>
      <c r="W40" s="72"/>
      <c r="X40" s="72"/>
      <c r="Y40" s="72"/>
      <c r="Z40" s="72"/>
    </row>
    <row r="41" ht="15.75" customHeight="1">
      <c r="A41" s="260"/>
      <c r="B41" s="275"/>
      <c r="C41" s="275"/>
      <c r="D41" s="284" t="str">
        <f>DPA!D58</f>
        <v>-</v>
      </c>
      <c r="E41" s="285" t="str">
        <f>DPA!E58</f>
        <v>Taxi dari/ke Bandara - Perjalanan Dinas Dalam Negeri
Spesifikasi: D.K.I. JAKARTA</v>
      </c>
      <c r="F41" s="281"/>
      <c r="G41" s="272"/>
      <c r="H41" s="282"/>
      <c r="I41" s="282"/>
      <c r="J41" s="282"/>
      <c r="K41" s="276">
        <f>DPA!S58</f>
        <v>2048000</v>
      </c>
      <c r="L41" s="277"/>
      <c r="M41" s="277">
        <f t="shared" si="5"/>
        <v>2048000</v>
      </c>
      <c r="N41" s="278"/>
      <c r="O41" s="278"/>
      <c r="P41" s="278"/>
      <c r="Q41" s="278"/>
      <c r="R41" s="277"/>
      <c r="S41" s="278"/>
      <c r="T41" s="277"/>
      <c r="U41" s="260"/>
      <c r="V41" s="8"/>
      <c r="W41" s="8"/>
      <c r="X41" s="8"/>
      <c r="Y41" s="8"/>
      <c r="Z41" s="8"/>
    </row>
    <row r="42" ht="15.75" hidden="1" customHeight="1">
      <c r="A42" s="260"/>
      <c r="B42" s="275"/>
      <c r="C42" s="275"/>
      <c r="D42" s="284" t="str">
        <f>DPA!D59</f>
        <v>-</v>
      </c>
      <c r="E42" s="285" t="str">
        <f>DPA!E59</f>
        <v>Satuan Biaya Tiket Dalam Negeri
Spesifikasi : Denpasar - Jakarta</v>
      </c>
      <c r="F42" s="281"/>
      <c r="G42" s="272"/>
      <c r="H42" s="282"/>
      <c r="I42" s="282"/>
      <c r="J42" s="282"/>
      <c r="K42" s="276">
        <f>DPA!S59</f>
        <v>13048000</v>
      </c>
      <c r="L42" s="281"/>
      <c r="M42" s="277">
        <f t="shared" si="5"/>
        <v>13048000</v>
      </c>
      <c r="N42" s="283"/>
      <c r="O42" s="283"/>
      <c r="P42" s="283"/>
      <c r="Q42" s="283"/>
      <c r="R42" s="281"/>
      <c r="S42" s="283"/>
      <c r="T42" s="277"/>
      <c r="U42" s="260"/>
      <c r="V42" s="8"/>
      <c r="W42" s="8"/>
      <c r="X42" s="8"/>
      <c r="Y42" s="8"/>
      <c r="Z42" s="8"/>
    </row>
    <row r="43" ht="15.75" customHeight="1">
      <c r="A43" s="260"/>
      <c r="B43" s="275"/>
      <c r="C43" s="275"/>
      <c r="D43" s="284" t="str">
        <f>DPA!D60</f>
        <v>-</v>
      </c>
      <c r="E43" s="285" t="str">
        <f>DPA!E60</f>
        <v>Uang Harian Perjalanan Dinas Luar Kota/Luar Daerah
Spesifikasi: D.K.I. JAKARTA</v>
      </c>
      <c r="F43" s="281"/>
      <c r="G43" s="272"/>
      <c r="H43" s="282"/>
      <c r="I43" s="282"/>
      <c r="J43" s="282"/>
      <c r="K43" s="276">
        <f>DPA!S60</f>
        <v>6360000</v>
      </c>
      <c r="L43" s="281"/>
      <c r="M43" s="277">
        <f t="shared" si="5"/>
        <v>6360000</v>
      </c>
      <c r="N43" s="283"/>
      <c r="O43" s="283"/>
      <c r="P43" s="283"/>
      <c r="Q43" s="283"/>
      <c r="R43" s="281"/>
      <c r="S43" s="283"/>
      <c r="T43" s="277"/>
      <c r="U43" s="260"/>
      <c r="V43" s="8"/>
      <c r="W43" s="8"/>
      <c r="X43" s="8"/>
      <c r="Y43" s="8"/>
      <c r="Z43" s="8"/>
    </row>
    <row r="44" ht="15.75" customHeight="1">
      <c r="A44" s="260"/>
      <c r="B44" s="275"/>
      <c r="C44" s="275"/>
      <c r="D44" s="275"/>
      <c r="E44" s="275"/>
      <c r="F44" s="281"/>
      <c r="G44" s="272"/>
      <c r="H44" s="282"/>
      <c r="I44" s="282"/>
      <c r="J44" s="282"/>
      <c r="K44" s="276"/>
      <c r="L44" s="277"/>
      <c r="M44" s="277"/>
      <c r="N44" s="278"/>
      <c r="O44" s="278"/>
      <c r="P44" s="278"/>
      <c r="Q44" s="278"/>
      <c r="R44" s="277"/>
      <c r="S44" s="278"/>
      <c r="T44" s="277"/>
      <c r="U44" s="260"/>
      <c r="V44" s="8"/>
      <c r="W44" s="8"/>
      <c r="X44" s="8"/>
      <c r="Y44" s="8"/>
      <c r="Z44" s="8"/>
    </row>
    <row r="45" ht="15.75" hidden="1" customHeight="1">
      <c r="A45" s="260"/>
      <c r="B45" s="275" t="str">
        <f>DPA!B62</f>
        <v>5.2 </v>
      </c>
      <c r="C45" s="275" t="str">
        <f>DPA!C62</f>
        <v>Belanja Modal</v>
      </c>
      <c r="D45" s="275"/>
      <c r="E45" s="275"/>
      <c r="F45" s="281"/>
      <c r="G45" s="272"/>
      <c r="H45" s="282"/>
      <c r="I45" s="282"/>
      <c r="J45" s="282"/>
      <c r="K45" s="276">
        <f>DPA!S62</f>
        <v>61372400</v>
      </c>
      <c r="L45" s="281"/>
      <c r="M45" s="277">
        <f t="shared" ref="M45:M54" si="6">K45</f>
        <v>61372400</v>
      </c>
      <c r="N45" s="283"/>
      <c r="O45" s="283"/>
      <c r="P45" s="283"/>
      <c r="Q45" s="283"/>
      <c r="R45" s="281"/>
      <c r="S45" s="283"/>
      <c r="T45" s="277"/>
      <c r="U45" s="260"/>
      <c r="V45" s="8"/>
      <c r="W45" s="8"/>
      <c r="X45" s="8"/>
      <c r="Y45" s="8"/>
      <c r="Z45" s="8"/>
    </row>
    <row r="46" ht="15.75" hidden="1" customHeight="1">
      <c r="A46" s="260"/>
      <c r="B46" s="275" t="str">
        <f>DPA!B63</f>
        <v>5.2.02</v>
      </c>
      <c r="C46" s="275" t="str">
        <f>DPA!C63</f>
        <v>Belanja Modal Perapatan dan Mesin</v>
      </c>
      <c r="D46" s="275"/>
      <c r="E46" s="275"/>
      <c r="F46" s="281"/>
      <c r="G46" s="272"/>
      <c r="H46" s="282"/>
      <c r="I46" s="282"/>
      <c r="J46" s="282"/>
      <c r="K46" s="276">
        <f>DPA!S63</f>
        <v>61372400</v>
      </c>
      <c r="L46" s="281"/>
      <c r="M46" s="277">
        <f t="shared" si="6"/>
        <v>61372400</v>
      </c>
      <c r="N46" s="283"/>
      <c r="O46" s="283"/>
      <c r="P46" s="283"/>
      <c r="Q46" s="283"/>
      <c r="R46" s="281"/>
      <c r="S46" s="283"/>
      <c r="T46" s="277"/>
      <c r="U46" s="260"/>
      <c r="V46" s="8"/>
      <c r="W46" s="8"/>
      <c r="X46" s="8"/>
      <c r="Y46" s="8"/>
      <c r="Z46" s="8"/>
    </row>
    <row r="47" ht="15.75" hidden="1" customHeight="1">
      <c r="A47" s="260"/>
      <c r="B47" s="275" t="str">
        <f>DPA!B64</f>
        <v>5.2.02.05</v>
      </c>
      <c r="C47" s="275" t="str">
        <f>DPA!C64</f>
        <v>Belanja Modal Alat Kantor dan Rumah Tangga</v>
      </c>
      <c r="D47" s="275"/>
      <c r="E47" s="275"/>
      <c r="F47" s="281"/>
      <c r="G47" s="272"/>
      <c r="H47" s="282"/>
      <c r="I47" s="282"/>
      <c r="J47" s="282"/>
      <c r="K47" s="276">
        <f>DPA!S64</f>
        <v>61372400</v>
      </c>
      <c r="L47" s="281"/>
      <c r="M47" s="277">
        <f t="shared" si="6"/>
        <v>61372400</v>
      </c>
      <c r="N47" s="283"/>
      <c r="O47" s="283"/>
      <c r="P47" s="283"/>
      <c r="Q47" s="283"/>
      <c r="R47" s="281"/>
      <c r="S47" s="283"/>
      <c r="T47" s="277"/>
      <c r="U47" s="260"/>
      <c r="V47" s="8"/>
      <c r="W47" s="8"/>
      <c r="X47" s="8"/>
      <c r="Y47" s="8"/>
      <c r="Z47" s="8"/>
    </row>
    <row r="48" ht="15.75" hidden="1" customHeight="1">
      <c r="A48" s="260"/>
      <c r="B48" s="275" t="str">
        <f>DPA!B65</f>
        <v>5.2.02.05.001</v>
      </c>
      <c r="C48" s="275" t="str">
        <f>DPA!C65</f>
        <v>Belanja Modal Alat Kantor</v>
      </c>
      <c r="D48" s="275"/>
      <c r="E48" s="275"/>
      <c r="F48" s="281"/>
      <c r="G48" s="272"/>
      <c r="H48" s="282"/>
      <c r="I48" s="282"/>
      <c r="J48" s="282"/>
      <c r="K48" s="276">
        <f>DPA!S65</f>
        <v>34347600</v>
      </c>
      <c r="L48" s="281"/>
      <c r="M48" s="277">
        <f t="shared" si="6"/>
        <v>34347600</v>
      </c>
      <c r="N48" s="283"/>
      <c r="O48" s="283"/>
      <c r="P48" s="283"/>
      <c r="Q48" s="283"/>
      <c r="R48" s="281"/>
      <c r="S48" s="283"/>
      <c r="T48" s="277"/>
      <c r="U48" s="260"/>
      <c r="V48" s="8"/>
      <c r="W48" s="8"/>
      <c r="X48" s="8"/>
      <c r="Y48" s="8"/>
      <c r="Z48" s="8"/>
    </row>
    <row r="49" ht="15.75" hidden="1" customHeight="1">
      <c r="A49" s="260"/>
      <c r="B49" s="275" t="str">
        <f>DPA!B66</f>
        <v>5.2.02.05.001.00005</v>
      </c>
      <c r="C49" s="275" t="str">
        <f>DPA!C66</f>
        <v>Belanja Modal Alat Kantor Lainnya</v>
      </c>
      <c r="D49" s="275"/>
      <c r="E49" s="275"/>
      <c r="F49" s="281"/>
      <c r="G49" s="272"/>
      <c r="H49" s="282"/>
      <c r="I49" s="282"/>
      <c r="J49" s="282"/>
      <c r="K49" s="276">
        <f>DPA!S66</f>
        <v>34347600</v>
      </c>
      <c r="L49" s="281"/>
      <c r="M49" s="277">
        <f t="shared" si="6"/>
        <v>34347600</v>
      </c>
      <c r="N49" s="283"/>
      <c r="O49" s="283"/>
      <c r="P49" s="283"/>
      <c r="Q49" s="283"/>
      <c r="R49" s="281"/>
      <c r="S49" s="283"/>
      <c r="T49" s="277"/>
      <c r="U49" s="260"/>
      <c r="V49" s="8"/>
      <c r="W49" s="8"/>
      <c r="X49" s="8"/>
      <c r="Y49" s="8"/>
      <c r="Z49" s="8"/>
    </row>
    <row r="50" ht="15.75" hidden="1" customHeight="1">
      <c r="A50" s="260"/>
      <c r="B50" s="275" t="str">
        <f>DPA!B67</f>
        <v/>
      </c>
      <c r="C50" s="275" t="str">
        <f>DPA!C67</f>
        <v/>
      </c>
      <c r="D50" s="275"/>
      <c r="E50" s="275"/>
      <c r="F50" s="281"/>
      <c r="G50" s="272"/>
      <c r="H50" s="282"/>
      <c r="I50" s="282"/>
      <c r="J50" s="282"/>
      <c r="K50" s="276">
        <f>DPA!S67</f>
        <v>34347600</v>
      </c>
      <c r="L50" s="281"/>
      <c r="M50" s="277">
        <f t="shared" si="6"/>
        <v>34347600</v>
      </c>
      <c r="N50" s="283"/>
      <c r="O50" s="283"/>
      <c r="P50" s="283"/>
      <c r="Q50" s="283"/>
      <c r="R50" s="281"/>
      <c r="S50" s="283"/>
      <c r="T50" s="277"/>
      <c r="U50" s="260"/>
      <c r="V50" s="8"/>
      <c r="W50" s="8"/>
      <c r="X50" s="8"/>
      <c r="Y50" s="8"/>
      <c r="Z50" s="8"/>
    </row>
    <row r="51" ht="15.75" hidden="1" customHeight="1">
      <c r="A51" s="260"/>
      <c r="B51" s="275" t="str">
        <f>DPA!B68</f>
        <v/>
      </c>
      <c r="C51" s="275" t="str">
        <f>DPA!C68</f>
        <v/>
      </c>
      <c r="D51" s="275"/>
      <c r="E51" s="275"/>
      <c r="F51" s="281"/>
      <c r="G51" s="272"/>
      <c r="H51" s="282"/>
      <c r="I51" s="282"/>
      <c r="J51" s="282"/>
      <c r="K51" s="276" t="str">
        <f>DPA!S68</f>
        <v/>
      </c>
      <c r="L51" s="281"/>
      <c r="M51" s="277" t="str">
        <f t="shared" si="6"/>
        <v/>
      </c>
      <c r="N51" s="283"/>
      <c r="O51" s="283"/>
      <c r="P51" s="283"/>
      <c r="Q51" s="283"/>
      <c r="R51" s="281"/>
      <c r="S51" s="283"/>
      <c r="T51" s="277"/>
      <c r="U51" s="260"/>
      <c r="V51" s="8"/>
      <c r="W51" s="8"/>
      <c r="X51" s="8"/>
      <c r="Y51" s="8"/>
      <c r="Z51" s="8"/>
    </row>
    <row r="52" ht="15.75" hidden="1" customHeight="1">
      <c r="A52" s="260"/>
      <c r="B52" s="275" t="str">
        <f>DPA!B69</f>
        <v>5.2.02.05.002</v>
      </c>
      <c r="C52" s="275" t="str">
        <f>DPA!C69</f>
        <v>Belanja Modal Alat Rumah Tangga</v>
      </c>
      <c r="D52" s="275"/>
      <c r="E52" s="275"/>
      <c r="F52" s="281"/>
      <c r="G52" s="272"/>
      <c r="H52" s="282"/>
      <c r="I52" s="282"/>
      <c r="J52" s="282"/>
      <c r="K52" s="276">
        <f>DPA!S69</f>
        <v>27024800</v>
      </c>
      <c r="L52" s="281"/>
      <c r="M52" s="277">
        <f t="shared" si="6"/>
        <v>27024800</v>
      </c>
      <c r="N52" s="283"/>
      <c r="O52" s="283"/>
      <c r="P52" s="283"/>
      <c r="Q52" s="283"/>
      <c r="R52" s="281"/>
      <c r="S52" s="283"/>
      <c r="T52" s="277"/>
      <c r="U52" s="260"/>
      <c r="V52" s="8"/>
      <c r="W52" s="8"/>
      <c r="X52" s="8"/>
      <c r="Y52" s="8"/>
      <c r="Z52" s="8"/>
    </row>
    <row r="53" ht="15.75" customHeight="1">
      <c r="A53" s="260"/>
      <c r="B53" s="275" t="str">
        <f>DPA!B70</f>
        <v>5.2.02.05.002.000
06</v>
      </c>
      <c r="C53" s="275" t="str">
        <f>DPA!C70</f>
        <v>Belanja Modal Alat Rumah Tangga Lainnya (Home Use)</v>
      </c>
      <c r="D53" s="275"/>
      <c r="E53" s="275"/>
      <c r="F53" s="281"/>
      <c r="G53" s="272"/>
      <c r="H53" s="282"/>
      <c r="I53" s="282"/>
      <c r="J53" s="282"/>
      <c r="K53" s="276">
        <f>DPA!S70</f>
        <v>27024800</v>
      </c>
      <c r="L53" s="281"/>
      <c r="M53" s="277">
        <f t="shared" si="6"/>
        <v>27024800</v>
      </c>
      <c r="N53" s="283"/>
      <c r="O53" s="283"/>
      <c r="P53" s="283"/>
      <c r="Q53" s="283"/>
      <c r="R53" s="281"/>
      <c r="S53" s="283"/>
      <c r="T53" s="277"/>
      <c r="U53" s="260"/>
      <c r="V53" s="8"/>
      <c r="W53" s="8"/>
      <c r="X53" s="8"/>
      <c r="Y53" s="8"/>
      <c r="Z53" s="8"/>
    </row>
    <row r="54" ht="15.75" customHeight="1">
      <c r="A54" s="260"/>
      <c r="B54" s="275"/>
      <c r="C54" s="275"/>
      <c r="D54" s="284" t="str">
        <f>DPA!D71</f>
        <v>-</v>
      </c>
      <c r="E54" s="285" t="str">
        <f>DPA!E71</f>
        <v>Televisi
Spesifikasi : Smart TV 70 Inch min. UHD 4K,
Garansi Min. 1 Tahun</v>
      </c>
      <c r="F54" s="281"/>
      <c r="G54" s="272"/>
      <c r="H54" s="282"/>
      <c r="I54" s="282"/>
      <c r="J54" s="282"/>
      <c r="K54" s="276">
        <f>DPA!S71</f>
        <v>27024800</v>
      </c>
      <c r="L54" s="277"/>
      <c r="M54" s="277">
        <f t="shared" si="6"/>
        <v>27024800</v>
      </c>
      <c r="N54" s="278"/>
      <c r="O54" s="278"/>
      <c r="P54" s="278"/>
      <c r="Q54" s="278"/>
      <c r="R54" s="277"/>
      <c r="S54" s="278"/>
      <c r="T54" s="277"/>
      <c r="U54" s="260"/>
      <c r="V54" s="8"/>
      <c r="W54" s="8"/>
      <c r="X54" s="8"/>
      <c r="Y54" s="8"/>
      <c r="Z54" s="8"/>
    </row>
    <row r="55" ht="15.75" customHeight="1">
      <c r="A55" s="260"/>
      <c r="B55" s="275"/>
      <c r="C55" s="275"/>
      <c r="D55" s="275"/>
      <c r="E55" s="275"/>
      <c r="F55" s="281"/>
      <c r="G55" s="272"/>
      <c r="H55" s="282"/>
      <c r="I55" s="282"/>
      <c r="J55" s="282"/>
      <c r="K55" s="276"/>
      <c r="L55" s="281"/>
      <c r="M55" s="277"/>
      <c r="N55" s="283"/>
      <c r="O55" s="283"/>
      <c r="P55" s="283"/>
      <c r="Q55" s="283"/>
      <c r="R55" s="281"/>
      <c r="S55" s="283"/>
      <c r="T55" s="277"/>
      <c r="U55" s="260"/>
      <c r="V55" s="8"/>
      <c r="W55" s="8"/>
      <c r="X55" s="8"/>
      <c r="Y55" s="8"/>
      <c r="Z55" s="8"/>
    </row>
    <row r="56" ht="8.25" customHeight="1">
      <c r="A56" s="260"/>
      <c r="B56" s="260"/>
      <c r="C56" s="260"/>
      <c r="D56" s="260"/>
      <c r="E56" s="8"/>
      <c r="F56" s="260"/>
      <c r="G56" s="260"/>
      <c r="H56" s="260"/>
      <c r="I56" s="260"/>
      <c r="J56" s="260"/>
      <c r="K56" s="270"/>
      <c r="L56" s="270"/>
      <c r="M56" s="270"/>
      <c r="N56" s="270"/>
      <c r="O56" s="260"/>
      <c r="P56" s="270"/>
      <c r="Q56" s="270"/>
      <c r="R56" s="270"/>
      <c r="S56" s="270"/>
      <c r="T56" s="270"/>
      <c r="U56" s="260"/>
      <c r="V56" s="8"/>
      <c r="W56" s="8"/>
      <c r="X56" s="8"/>
      <c r="Y56" s="8"/>
      <c r="Z56" s="8"/>
    </row>
    <row r="57" ht="15.75" customHeight="1">
      <c r="A57" s="260"/>
      <c r="B57" s="260"/>
      <c r="C57" s="260"/>
      <c r="D57" s="260"/>
      <c r="E57" s="8"/>
      <c r="F57" s="260"/>
      <c r="G57" s="260"/>
      <c r="H57" s="260"/>
      <c r="I57" s="260"/>
      <c r="J57" s="260"/>
      <c r="K57" s="270"/>
      <c r="L57" s="270"/>
      <c r="M57" s="270"/>
      <c r="N57" s="270"/>
      <c r="O57" s="260" t="s">
        <v>114</v>
      </c>
      <c r="P57" s="270"/>
      <c r="Q57" s="270"/>
      <c r="R57" s="270"/>
      <c r="S57" s="270"/>
      <c r="T57" s="270"/>
      <c r="U57" s="260"/>
      <c r="V57" s="8"/>
      <c r="W57" s="8"/>
      <c r="X57" s="8"/>
      <c r="Y57" s="8"/>
      <c r="Z57" s="8"/>
    </row>
    <row r="58" ht="6.75" customHeight="1">
      <c r="A58" s="260"/>
      <c r="B58" s="260"/>
      <c r="C58" s="260"/>
      <c r="D58" s="260"/>
      <c r="E58" s="8"/>
      <c r="F58" s="260"/>
      <c r="G58" s="260"/>
      <c r="H58" s="260"/>
      <c r="I58" s="260"/>
      <c r="J58" s="260"/>
      <c r="K58" s="270"/>
      <c r="L58" s="270"/>
      <c r="M58" s="270"/>
      <c r="N58" s="270"/>
      <c r="O58" s="260"/>
      <c r="P58" s="270"/>
      <c r="Q58" s="270"/>
      <c r="R58" s="270"/>
      <c r="S58" s="270"/>
      <c r="T58" s="270"/>
      <c r="U58" s="260"/>
      <c r="V58" s="8"/>
      <c r="W58" s="8"/>
      <c r="X58" s="8"/>
      <c r="Y58" s="8"/>
      <c r="Z58" s="8"/>
    </row>
    <row r="59" ht="15.75" customHeight="1">
      <c r="A59" s="260"/>
      <c r="B59" s="260"/>
      <c r="C59" s="260"/>
      <c r="D59" s="260"/>
      <c r="E59" s="260" t="s">
        <v>168</v>
      </c>
      <c r="F59" s="260"/>
      <c r="G59" s="260"/>
      <c r="H59" s="260"/>
      <c r="I59" s="260"/>
      <c r="J59" s="260"/>
      <c r="K59" s="270"/>
      <c r="L59" s="270"/>
      <c r="M59" s="270"/>
      <c r="N59" s="270"/>
      <c r="O59" s="260" t="s">
        <v>217</v>
      </c>
      <c r="P59" s="270"/>
      <c r="Q59" s="270"/>
      <c r="R59" s="270"/>
      <c r="S59" s="270"/>
      <c r="T59" s="270"/>
      <c r="U59" s="260"/>
      <c r="V59" s="8"/>
      <c r="W59" s="8"/>
      <c r="X59" s="8"/>
      <c r="Y59" s="8"/>
      <c r="Z59" s="8"/>
    </row>
    <row r="60" ht="15.75" customHeight="1">
      <c r="A60" s="260"/>
      <c r="B60" s="260"/>
      <c r="C60" s="260"/>
      <c r="D60" s="260"/>
      <c r="E60" s="256" t="s">
        <v>170</v>
      </c>
      <c r="F60" s="260"/>
      <c r="G60" s="260"/>
      <c r="H60" s="260"/>
      <c r="I60" s="260"/>
      <c r="J60" s="260"/>
      <c r="K60" s="270"/>
      <c r="L60" s="270"/>
      <c r="M60" s="270"/>
      <c r="N60" s="270"/>
      <c r="O60" s="260" t="str">
        <f>DPA!N9</f>
        <v/>
      </c>
      <c r="P60" s="270"/>
      <c r="Q60" s="270"/>
      <c r="R60" s="270"/>
      <c r="S60" s="270"/>
      <c r="T60" s="270"/>
      <c r="U60" s="260"/>
      <c r="V60" s="8"/>
      <c r="W60" s="8"/>
      <c r="X60" s="8"/>
      <c r="Y60" s="8"/>
      <c r="Z60" s="8"/>
    </row>
    <row r="61" ht="15.75" customHeight="1">
      <c r="A61" s="260"/>
      <c r="B61" s="260"/>
      <c r="C61" s="260"/>
      <c r="D61" s="260"/>
      <c r="E61" s="256" t="s">
        <v>171</v>
      </c>
      <c r="F61" s="260"/>
      <c r="G61" s="260"/>
      <c r="H61" s="260"/>
      <c r="I61" s="260"/>
      <c r="J61" s="260"/>
      <c r="K61" s="270"/>
      <c r="L61" s="270"/>
      <c r="M61" s="270"/>
      <c r="N61" s="270"/>
      <c r="O61" s="260"/>
      <c r="P61" s="270"/>
      <c r="Q61" s="270"/>
      <c r="R61" s="270"/>
      <c r="S61" s="270"/>
      <c r="T61" s="270"/>
      <c r="U61" s="260"/>
      <c r="V61" s="8"/>
      <c r="W61" s="8"/>
      <c r="X61" s="8"/>
      <c r="Y61" s="8"/>
      <c r="Z61" s="8"/>
    </row>
    <row r="62" ht="15.75" customHeight="1">
      <c r="A62" s="260"/>
      <c r="B62" s="260"/>
      <c r="C62" s="260"/>
      <c r="D62" s="260"/>
      <c r="E62" s="8"/>
      <c r="F62" s="260"/>
      <c r="G62" s="260"/>
      <c r="H62" s="260"/>
      <c r="I62" s="260"/>
      <c r="J62" s="260"/>
      <c r="K62" s="270"/>
      <c r="L62" s="270"/>
      <c r="M62" s="270"/>
      <c r="N62" s="270"/>
      <c r="O62" s="260"/>
      <c r="P62" s="270"/>
      <c r="Q62" s="270"/>
      <c r="R62" s="270"/>
      <c r="S62" s="270"/>
      <c r="T62" s="270"/>
      <c r="U62" s="260"/>
      <c r="V62" s="8"/>
      <c r="W62" s="8"/>
      <c r="X62" s="8"/>
      <c r="Y62" s="8"/>
      <c r="Z62" s="8"/>
    </row>
    <row r="63" ht="15.75" customHeight="1">
      <c r="A63" s="260"/>
      <c r="B63" s="260"/>
      <c r="C63" s="260"/>
      <c r="D63" s="260"/>
      <c r="E63" s="8"/>
      <c r="F63" s="260"/>
      <c r="G63" s="260"/>
      <c r="H63" s="260"/>
      <c r="I63" s="260"/>
      <c r="J63" s="260"/>
      <c r="K63" s="270"/>
      <c r="L63" s="270"/>
      <c r="M63" s="270"/>
      <c r="N63" s="270"/>
      <c r="O63" s="260"/>
      <c r="P63" s="270"/>
      <c r="Q63" s="270"/>
      <c r="R63" s="270"/>
      <c r="S63" s="270"/>
      <c r="T63" s="270"/>
      <c r="U63" s="260"/>
      <c r="V63" s="8"/>
      <c r="W63" s="8"/>
      <c r="X63" s="8"/>
      <c r="Y63" s="8"/>
      <c r="Z63" s="8"/>
    </row>
    <row r="64" ht="15.75" customHeight="1">
      <c r="A64" s="260"/>
      <c r="B64" s="260"/>
      <c r="C64" s="260"/>
      <c r="D64" s="260"/>
      <c r="E64" s="8"/>
      <c r="F64" s="260"/>
      <c r="G64" s="260"/>
      <c r="H64" s="260"/>
      <c r="I64" s="260"/>
      <c r="J64" s="260"/>
      <c r="K64" s="270"/>
      <c r="L64" s="270"/>
      <c r="M64" s="270"/>
      <c r="N64" s="270"/>
      <c r="O64" s="260"/>
      <c r="P64" s="270"/>
      <c r="Q64" s="270"/>
      <c r="R64" s="270"/>
      <c r="S64" s="270"/>
      <c r="T64" s="270"/>
      <c r="U64" s="260"/>
      <c r="V64" s="8"/>
      <c r="W64" s="8"/>
      <c r="X64" s="8"/>
      <c r="Y64" s="8"/>
      <c r="Z64" s="8"/>
    </row>
    <row r="65" ht="15.75" customHeight="1">
      <c r="A65" s="260"/>
      <c r="B65" s="260"/>
      <c r="C65" s="260"/>
      <c r="D65" s="260"/>
      <c r="E65" s="258" t="s">
        <v>123</v>
      </c>
      <c r="F65" s="260"/>
      <c r="G65" s="260"/>
      <c r="H65" s="260"/>
      <c r="I65" s="260"/>
      <c r="J65" s="260"/>
      <c r="K65" s="270"/>
      <c r="L65" s="270"/>
      <c r="M65" s="270"/>
      <c r="N65" s="270"/>
      <c r="O65" s="286"/>
      <c r="P65" s="270"/>
      <c r="Q65" s="270"/>
      <c r="R65" s="270"/>
      <c r="S65" s="270"/>
      <c r="T65" s="270"/>
      <c r="U65" s="260"/>
      <c r="V65" s="8"/>
      <c r="W65" s="8"/>
      <c r="X65" s="8"/>
      <c r="Y65" s="8"/>
      <c r="Z65" s="8"/>
    </row>
    <row r="66" ht="15.75" customHeight="1">
      <c r="A66" s="260"/>
      <c r="B66" s="260"/>
      <c r="C66" s="260"/>
      <c r="D66" s="260"/>
      <c r="E66" s="256" t="s">
        <v>218</v>
      </c>
      <c r="F66" s="8"/>
      <c r="G66" s="260"/>
      <c r="H66" s="260"/>
      <c r="I66" s="260"/>
      <c r="J66" s="260"/>
      <c r="K66" s="270"/>
      <c r="L66" s="270"/>
      <c r="M66" s="270"/>
      <c r="N66" s="270"/>
      <c r="O66" s="260"/>
      <c r="P66" s="270"/>
      <c r="Q66" s="270"/>
      <c r="R66" s="270"/>
      <c r="S66" s="270"/>
      <c r="T66" s="270"/>
      <c r="U66" s="260"/>
      <c r="V66" s="8"/>
      <c r="W66" s="8"/>
      <c r="X66" s="8"/>
      <c r="Y66" s="8"/>
      <c r="Z66" s="8"/>
    </row>
    <row r="67" ht="15.75" customHeight="1">
      <c r="A67" s="260"/>
      <c r="B67" s="260"/>
      <c r="C67" s="260"/>
      <c r="D67" s="260"/>
      <c r="E67" s="256" t="s">
        <v>125</v>
      </c>
      <c r="F67" s="260"/>
      <c r="G67" s="260"/>
      <c r="H67" s="260"/>
      <c r="I67" s="260"/>
      <c r="J67" s="260"/>
      <c r="K67" s="270"/>
      <c r="L67" s="270"/>
      <c r="M67" s="270"/>
      <c r="N67" s="270"/>
      <c r="O67" s="260"/>
      <c r="P67" s="270"/>
      <c r="Q67" s="270"/>
      <c r="R67" s="270"/>
      <c r="S67" s="270"/>
      <c r="T67" s="270"/>
      <c r="U67" s="260"/>
      <c r="V67" s="8"/>
      <c r="W67" s="8"/>
      <c r="X67" s="8"/>
      <c r="Y67" s="8"/>
      <c r="Z67" s="8"/>
    </row>
    <row r="68" ht="15.75" customHeight="1">
      <c r="A68" s="260"/>
      <c r="B68" s="260"/>
      <c r="C68" s="260"/>
      <c r="D68" s="260"/>
      <c r="E68" s="260"/>
      <c r="F68" s="260"/>
      <c r="G68" s="260"/>
      <c r="H68" s="260"/>
      <c r="I68" s="260"/>
      <c r="J68" s="26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60"/>
      <c r="V68" s="8"/>
      <c r="W68" s="8"/>
      <c r="X68" s="8"/>
      <c r="Y68" s="8"/>
      <c r="Z68" s="8"/>
    </row>
    <row r="69" ht="15.75" customHeight="1">
      <c r="A69" s="260"/>
      <c r="B69" s="260"/>
      <c r="C69" s="260"/>
      <c r="D69" s="260"/>
      <c r="E69" s="260"/>
      <c r="F69" s="260"/>
      <c r="G69" s="260"/>
      <c r="H69" s="260"/>
      <c r="I69" s="260"/>
      <c r="J69" s="26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60"/>
      <c r="V69" s="8"/>
      <c r="W69" s="8"/>
      <c r="X69" s="8"/>
      <c r="Y69" s="8"/>
      <c r="Z69" s="8"/>
    </row>
    <row r="70" ht="15.7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8"/>
      <c r="W70" s="8"/>
      <c r="X70" s="8"/>
      <c r="Y70" s="8"/>
      <c r="Z70" s="8"/>
    </row>
    <row r="71" ht="15.7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8"/>
      <c r="W71" s="8"/>
      <c r="X71" s="8"/>
      <c r="Y71" s="8"/>
      <c r="Z71" s="8"/>
    </row>
    <row r="72" ht="15.7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8"/>
      <c r="W72" s="8"/>
      <c r="X72" s="8"/>
      <c r="Y72" s="8"/>
      <c r="Z72" s="8"/>
    </row>
    <row r="73" ht="15.7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8"/>
      <c r="W73" s="8"/>
      <c r="X73" s="8"/>
      <c r="Y73" s="8"/>
      <c r="Z73" s="8"/>
    </row>
    <row r="74" ht="15.7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8"/>
      <c r="W74" s="8"/>
      <c r="X74" s="8"/>
      <c r="Y74" s="8"/>
      <c r="Z74" s="8"/>
    </row>
    <row r="75" ht="15.7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8"/>
      <c r="W75" s="8"/>
      <c r="X75" s="8"/>
      <c r="Y75" s="8"/>
      <c r="Z75" s="8"/>
    </row>
    <row r="76" ht="15.7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70"/>
      <c r="N76" s="260"/>
      <c r="O76" s="260"/>
      <c r="P76" s="260"/>
      <c r="Q76" s="260"/>
      <c r="R76" s="260"/>
      <c r="S76" s="260"/>
      <c r="T76" s="260"/>
      <c r="U76" s="260"/>
      <c r="V76" s="8"/>
      <c r="W76" s="8"/>
      <c r="X76" s="8"/>
      <c r="Y76" s="8"/>
      <c r="Z76" s="8"/>
    </row>
    <row r="77" ht="15.7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8"/>
      <c r="W77" s="8"/>
      <c r="X77" s="8"/>
      <c r="Y77" s="8"/>
      <c r="Z77" s="8"/>
    </row>
    <row r="78" ht="15.7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8"/>
      <c r="W78" s="8"/>
      <c r="X78" s="8"/>
      <c r="Y78" s="8"/>
      <c r="Z78" s="8"/>
    </row>
    <row r="79" ht="15.7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8"/>
      <c r="W79" s="8"/>
      <c r="X79" s="8"/>
      <c r="Y79" s="8"/>
      <c r="Z79" s="8"/>
    </row>
    <row r="80" ht="15.7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8"/>
      <c r="W80" s="8"/>
      <c r="X80" s="8"/>
      <c r="Y80" s="8"/>
      <c r="Z80" s="8"/>
    </row>
    <row r="81" ht="15.7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70"/>
      <c r="M81" s="260"/>
      <c r="N81" s="260"/>
      <c r="O81" s="260"/>
      <c r="P81" s="260"/>
      <c r="Q81" s="260"/>
      <c r="R81" s="260"/>
      <c r="S81" s="260"/>
      <c r="T81" s="260"/>
      <c r="U81" s="260"/>
      <c r="V81" s="8"/>
      <c r="W81" s="8"/>
      <c r="X81" s="8"/>
      <c r="Y81" s="8"/>
      <c r="Z81" s="8"/>
    </row>
    <row r="82" ht="15.7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70"/>
      <c r="O82" s="260"/>
      <c r="P82" s="260"/>
      <c r="Q82" s="260"/>
      <c r="R82" s="260"/>
      <c r="S82" s="260"/>
      <c r="T82" s="260"/>
      <c r="U82" s="260"/>
      <c r="V82" s="8"/>
      <c r="W82" s="8"/>
      <c r="X82" s="8"/>
      <c r="Y82" s="8"/>
      <c r="Z82" s="8"/>
    </row>
    <row r="83" ht="15.7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8"/>
      <c r="W83" s="8"/>
      <c r="X83" s="8"/>
      <c r="Y83" s="8"/>
      <c r="Z83" s="8"/>
    </row>
    <row r="84" ht="15.7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8"/>
      <c r="W84" s="8"/>
      <c r="X84" s="8"/>
      <c r="Y84" s="8"/>
      <c r="Z84" s="8"/>
    </row>
    <row r="85" ht="15.7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8"/>
      <c r="W85" s="8"/>
      <c r="X85" s="8"/>
      <c r="Y85" s="8"/>
      <c r="Z85" s="8"/>
    </row>
    <row r="86" ht="15.7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8"/>
      <c r="W86" s="8"/>
      <c r="X86" s="8"/>
      <c r="Y86" s="8"/>
      <c r="Z86" s="8"/>
    </row>
    <row r="87" ht="15.7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8"/>
      <c r="W87" s="8"/>
      <c r="X87" s="8"/>
      <c r="Y87" s="8"/>
      <c r="Z87" s="8"/>
    </row>
    <row r="88" ht="15.7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8"/>
      <c r="W88" s="8"/>
      <c r="X88" s="8"/>
      <c r="Y88" s="8"/>
      <c r="Z88" s="8"/>
    </row>
    <row r="89" ht="15.7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8"/>
      <c r="W89" s="8"/>
      <c r="X89" s="8"/>
      <c r="Y89" s="8"/>
      <c r="Z89" s="8"/>
    </row>
    <row r="90" ht="15.7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8"/>
      <c r="W90" s="8"/>
      <c r="X90" s="8"/>
      <c r="Y90" s="8"/>
      <c r="Z90" s="8"/>
    </row>
    <row r="91" ht="15.7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8"/>
      <c r="W91" s="8"/>
      <c r="X91" s="8"/>
      <c r="Y91" s="8"/>
      <c r="Z91" s="8"/>
    </row>
    <row r="92" ht="15.7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8"/>
      <c r="W92" s="8"/>
      <c r="X92" s="8"/>
      <c r="Y92" s="8"/>
      <c r="Z92" s="8"/>
    </row>
    <row r="93" ht="15.7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8"/>
      <c r="W93" s="8"/>
      <c r="X93" s="8"/>
      <c r="Y93" s="8"/>
      <c r="Z93" s="8"/>
    </row>
    <row r="94" ht="15.7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8"/>
      <c r="W94" s="8"/>
      <c r="X94" s="8"/>
      <c r="Y94" s="8"/>
      <c r="Z94" s="8"/>
    </row>
    <row r="95" ht="15.7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8"/>
      <c r="W95" s="8"/>
      <c r="X95" s="8"/>
      <c r="Y95" s="8"/>
      <c r="Z95" s="8"/>
    </row>
    <row r="96" ht="15.7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8"/>
      <c r="W96" s="8"/>
      <c r="X96" s="8"/>
      <c r="Y96" s="8"/>
      <c r="Z96" s="8"/>
    </row>
    <row r="97" ht="15.7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8"/>
      <c r="W97" s="8"/>
      <c r="X97" s="8"/>
      <c r="Y97" s="8"/>
      <c r="Z97" s="8"/>
    </row>
    <row r="98" ht="15.7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8"/>
      <c r="W98" s="8"/>
      <c r="X98" s="8"/>
      <c r="Y98" s="8"/>
      <c r="Z98" s="8"/>
    </row>
    <row r="99" ht="15.7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8"/>
      <c r="W99" s="8"/>
      <c r="X99" s="8"/>
      <c r="Y99" s="8"/>
      <c r="Z99" s="8"/>
    </row>
    <row r="100" ht="15.7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8"/>
      <c r="W100" s="8"/>
      <c r="X100" s="8"/>
      <c r="Y100" s="8"/>
      <c r="Z100" s="8"/>
    </row>
    <row r="101" ht="15.7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8"/>
      <c r="W101" s="8"/>
      <c r="X101" s="8"/>
      <c r="Y101" s="8"/>
      <c r="Z101" s="8"/>
    </row>
    <row r="102" ht="15.7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8"/>
      <c r="W102" s="8"/>
      <c r="X102" s="8"/>
      <c r="Y102" s="8"/>
      <c r="Z102" s="8"/>
    </row>
    <row r="103" ht="15.7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8"/>
      <c r="W103" s="8"/>
      <c r="X103" s="8"/>
      <c r="Y103" s="8"/>
      <c r="Z103" s="8"/>
    </row>
    <row r="104" ht="15.7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8"/>
      <c r="W104" s="8"/>
      <c r="X104" s="8"/>
      <c r="Y104" s="8"/>
      <c r="Z104" s="8"/>
    </row>
    <row r="105" ht="15.7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8"/>
      <c r="W105" s="8"/>
      <c r="X105" s="8"/>
      <c r="Y105" s="8"/>
      <c r="Z105" s="8"/>
    </row>
    <row r="106" ht="15.7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8"/>
      <c r="W106" s="8"/>
      <c r="X106" s="8"/>
      <c r="Y106" s="8"/>
      <c r="Z106" s="8"/>
    </row>
    <row r="107" ht="15.7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8"/>
      <c r="W107" s="8"/>
      <c r="X107" s="8"/>
      <c r="Y107" s="8"/>
      <c r="Z107" s="8"/>
    </row>
    <row r="108" ht="15.7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8"/>
      <c r="W108" s="8"/>
      <c r="X108" s="8"/>
      <c r="Y108" s="8"/>
      <c r="Z108" s="8"/>
    </row>
    <row r="109" ht="15.7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8"/>
      <c r="W109" s="8"/>
      <c r="X109" s="8"/>
      <c r="Y109" s="8"/>
      <c r="Z109" s="8"/>
    </row>
    <row r="110" ht="15.7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8"/>
      <c r="W110" s="8"/>
      <c r="X110" s="8"/>
      <c r="Y110" s="8"/>
      <c r="Z110" s="8"/>
    </row>
    <row r="111" ht="15.7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8"/>
      <c r="W111" s="8"/>
      <c r="X111" s="8"/>
      <c r="Y111" s="8"/>
      <c r="Z111" s="8"/>
    </row>
    <row r="112" ht="15.7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8"/>
      <c r="W112" s="8"/>
      <c r="X112" s="8"/>
      <c r="Y112" s="8"/>
      <c r="Z112" s="8"/>
    </row>
    <row r="113" ht="15.7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8"/>
      <c r="W113" s="8"/>
      <c r="X113" s="8"/>
      <c r="Y113" s="8"/>
      <c r="Z113" s="8"/>
    </row>
    <row r="114" ht="15.7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8"/>
      <c r="W114" s="8"/>
      <c r="X114" s="8"/>
      <c r="Y114" s="8"/>
      <c r="Z114" s="8"/>
    </row>
    <row r="115" ht="15.7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8"/>
      <c r="W115" s="8"/>
      <c r="X115" s="8"/>
      <c r="Y115" s="8"/>
      <c r="Z115" s="8"/>
    </row>
    <row r="116" ht="15.7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8"/>
      <c r="W116" s="8"/>
      <c r="X116" s="8"/>
      <c r="Y116" s="8"/>
      <c r="Z116" s="8"/>
    </row>
    <row r="117" ht="15.7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8"/>
      <c r="W117" s="8"/>
      <c r="X117" s="8"/>
      <c r="Y117" s="8"/>
      <c r="Z117" s="8"/>
    </row>
    <row r="118" ht="15.7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8"/>
      <c r="W118" s="8"/>
      <c r="X118" s="8"/>
      <c r="Y118" s="8"/>
      <c r="Z118" s="8"/>
    </row>
    <row r="119" ht="15.7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8"/>
      <c r="W119" s="8"/>
      <c r="X119" s="8"/>
      <c r="Y119" s="8"/>
      <c r="Z119" s="8"/>
    </row>
    <row r="120" ht="15.7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8"/>
      <c r="W120" s="8"/>
      <c r="X120" s="8"/>
      <c r="Y120" s="8"/>
      <c r="Z120" s="8"/>
    </row>
    <row r="121" ht="15.7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8"/>
      <c r="W121" s="8"/>
      <c r="X121" s="8"/>
      <c r="Y121" s="8"/>
      <c r="Z121" s="8"/>
    </row>
    <row r="122" ht="15.7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8"/>
      <c r="W122" s="8"/>
      <c r="X122" s="8"/>
      <c r="Y122" s="8"/>
      <c r="Z122" s="8"/>
    </row>
    <row r="123" ht="15.7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8"/>
      <c r="W123" s="8"/>
      <c r="X123" s="8"/>
      <c r="Y123" s="8"/>
      <c r="Z123" s="8"/>
    </row>
    <row r="124" ht="15.7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8"/>
      <c r="W124" s="8"/>
      <c r="X124" s="8"/>
      <c r="Y124" s="8"/>
      <c r="Z124" s="8"/>
    </row>
    <row r="125" ht="15.7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8"/>
      <c r="W125" s="8"/>
      <c r="X125" s="8"/>
      <c r="Y125" s="8"/>
      <c r="Z125" s="8"/>
    </row>
    <row r="126" ht="15.7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8"/>
      <c r="W126" s="8"/>
      <c r="X126" s="8"/>
      <c r="Y126" s="8"/>
      <c r="Z126" s="8"/>
    </row>
    <row r="127" ht="15.7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8"/>
      <c r="W127" s="8"/>
      <c r="X127" s="8"/>
      <c r="Y127" s="8"/>
      <c r="Z127" s="8"/>
    </row>
    <row r="128" ht="15.7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8"/>
      <c r="W128" s="8"/>
      <c r="X128" s="8"/>
      <c r="Y128" s="8"/>
      <c r="Z128" s="8"/>
    </row>
    <row r="129" ht="15.7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8"/>
      <c r="W129" s="8"/>
      <c r="X129" s="8"/>
      <c r="Y129" s="8"/>
      <c r="Z129" s="8"/>
    </row>
    <row r="130" ht="15.7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8"/>
      <c r="W130" s="8"/>
      <c r="X130" s="8"/>
      <c r="Y130" s="8"/>
      <c r="Z130" s="8"/>
    </row>
    <row r="131" ht="15.7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8"/>
      <c r="W131" s="8"/>
      <c r="X131" s="8"/>
      <c r="Y131" s="8"/>
      <c r="Z131" s="8"/>
    </row>
    <row r="132" ht="15.7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8"/>
      <c r="W132" s="8"/>
      <c r="X132" s="8"/>
      <c r="Y132" s="8"/>
      <c r="Z132" s="8"/>
    </row>
    <row r="133" ht="15.7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8"/>
      <c r="W133" s="8"/>
      <c r="X133" s="8"/>
      <c r="Y133" s="8"/>
      <c r="Z133" s="8"/>
    </row>
    <row r="134" ht="15.7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8"/>
      <c r="W134" s="8"/>
      <c r="X134" s="8"/>
      <c r="Y134" s="8"/>
      <c r="Z134" s="8"/>
    </row>
    <row r="135" ht="15.7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8"/>
      <c r="W135" s="8"/>
      <c r="X135" s="8"/>
      <c r="Y135" s="8"/>
      <c r="Z135" s="8"/>
    </row>
    <row r="136" ht="15.7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8"/>
      <c r="W136" s="8"/>
      <c r="X136" s="8"/>
      <c r="Y136" s="8"/>
      <c r="Z136" s="8"/>
    </row>
    <row r="137" ht="15.7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8"/>
      <c r="W137" s="8"/>
      <c r="X137" s="8"/>
      <c r="Y137" s="8"/>
      <c r="Z137" s="8"/>
    </row>
    <row r="138" ht="15.7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8"/>
      <c r="W138" s="8"/>
      <c r="X138" s="8"/>
      <c r="Y138" s="8"/>
      <c r="Z138" s="8"/>
    </row>
    <row r="139" ht="15.7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8"/>
      <c r="W139" s="8"/>
      <c r="X139" s="8"/>
      <c r="Y139" s="8"/>
      <c r="Z139" s="8"/>
    </row>
    <row r="140" ht="15.7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8"/>
      <c r="W140" s="8"/>
      <c r="X140" s="8"/>
      <c r="Y140" s="8"/>
      <c r="Z140" s="8"/>
    </row>
    <row r="141" ht="15.7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8"/>
      <c r="W141" s="8"/>
      <c r="X141" s="8"/>
      <c r="Y141" s="8"/>
      <c r="Z141" s="8"/>
    </row>
    <row r="142" ht="15.7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8"/>
      <c r="W142" s="8"/>
      <c r="X142" s="8"/>
      <c r="Y142" s="8"/>
      <c r="Z142" s="8"/>
    </row>
    <row r="143" ht="15.7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8"/>
      <c r="W143" s="8"/>
      <c r="X143" s="8"/>
      <c r="Y143" s="8"/>
      <c r="Z143" s="8"/>
    </row>
    <row r="144" ht="15.7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8"/>
      <c r="W144" s="8"/>
      <c r="X144" s="8"/>
      <c r="Y144" s="8"/>
      <c r="Z144" s="8"/>
    </row>
    <row r="145" ht="15.7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8"/>
      <c r="W145" s="8"/>
      <c r="X145" s="8"/>
      <c r="Y145" s="8"/>
      <c r="Z145" s="8"/>
    </row>
    <row r="146" ht="15.7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8"/>
      <c r="W146" s="8"/>
      <c r="X146" s="8"/>
      <c r="Y146" s="8"/>
      <c r="Z146" s="8"/>
    </row>
    <row r="147" ht="15.7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8"/>
      <c r="W147" s="8"/>
      <c r="X147" s="8"/>
      <c r="Y147" s="8"/>
      <c r="Z147" s="8"/>
    </row>
    <row r="148" ht="15.7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8"/>
      <c r="W148" s="8"/>
      <c r="X148" s="8"/>
      <c r="Y148" s="8"/>
      <c r="Z148" s="8"/>
    </row>
    <row r="149" ht="15.7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8"/>
      <c r="W149" s="8"/>
      <c r="X149" s="8"/>
      <c r="Y149" s="8"/>
      <c r="Z149" s="8"/>
    </row>
    <row r="150" ht="15.7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8"/>
      <c r="W150" s="8"/>
      <c r="X150" s="8"/>
      <c r="Y150" s="8"/>
      <c r="Z150" s="8"/>
    </row>
    <row r="151" ht="15.7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8"/>
      <c r="W151" s="8"/>
      <c r="X151" s="8"/>
      <c r="Y151" s="8"/>
      <c r="Z151" s="8"/>
    </row>
    <row r="152" ht="15.7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8"/>
      <c r="W152" s="8"/>
      <c r="X152" s="8"/>
      <c r="Y152" s="8"/>
      <c r="Z152" s="8"/>
    </row>
    <row r="153" ht="15.7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8"/>
      <c r="W153" s="8"/>
      <c r="X153" s="8"/>
      <c r="Y153" s="8"/>
      <c r="Z153" s="8"/>
    </row>
    <row r="154" ht="15.7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8"/>
      <c r="W154" s="8"/>
      <c r="X154" s="8"/>
      <c r="Y154" s="8"/>
      <c r="Z154" s="8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8"/>
      <c r="W155" s="8"/>
      <c r="X155" s="8"/>
      <c r="Y155" s="8"/>
      <c r="Z155" s="8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8"/>
      <c r="W156" s="8"/>
      <c r="X156" s="8"/>
      <c r="Y156" s="8"/>
      <c r="Z156" s="8"/>
    </row>
    <row r="157" ht="15.7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8"/>
      <c r="W157" s="8"/>
      <c r="X157" s="8"/>
      <c r="Y157" s="8"/>
      <c r="Z157" s="8"/>
    </row>
    <row r="158" ht="15.7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8"/>
      <c r="W158" s="8"/>
      <c r="X158" s="8"/>
      <c r="Y158" s="8"/>
      <c r="Z158" s="8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8"/>
      <c r="W159" s="8"/>
      <c r="X159" s="8"/>
      <c r="Y159" s="8"/>
      <c r="Z159" s="8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8"/>
      <c r="W160" s="8"/>
      <c r="X160" s="8"/>
      <c r="Y160" s="8"/>
      <c r="Z160" s="8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8"/>
      <c r="W161" s="8"/>
      <c r="X161" s="8"/>
      <c r="Y161" s="8"/>
      <c r="Z161" s="8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8"/>
      <c r="W162" s="8"/>
      <c r="X162" s="8"/>
      <c r="Y162" s="8"/>
      <c r="Z162" s="8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8"/>
      <c r="W163" s="8"/>
      <c r="X163" s="8"/>
      <c r="Y163" s="8"/>
      <c r="Z163" s="8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8"/>
      <c r="W164" s="8"/>
      <c r="X164" s="8"/>
      <c r="Y164" s="8"/>
      <c r="Z164" s="8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8"/>
      <c r="W165" s="8"/>
      <c r="X165" s="8"/>
      <c r="Y165" s="8"/>
      <c r="Z165" s="8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8"/>
      <c r="W166" s="8"/>
      <c r="X166" s="8"/>
      <c r="Y166" s="8"/>
      <c r="Z166" s="8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8"/>
      <c r="W167" s="8"/>
      <c r="X167" s="8"/>
      <c r="Y167" s="8"/>
      <c r="Z167" s="8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8"/>
      <c r="W168" s="8"/>
      <c r="X168" s="8"/>
      <c r="Y168" s="8"/>
      <c r="Z168" s="8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8"/>
      <c r="W169" s="8"/>
      <c r="X169" s="8"/>
      <c r="Y169" s="8"/>
      <c r="Z169" s="8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8"/>
      <c r="W170" s="8"/>
      <c r="X170" s="8"/>
      <c r="Y170" s="8"/>
      <c r="Z170" s="8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8"/>
      <c r="W171" s="8"/>
      <c r="X171" s="8"/>
      <c r="Y171" s="8"/>
      <c r="Z171" s="8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8"/>
      <c r="W172" s="8"/>
      <c r="X172" s="8"/>
      <c r="Y172" s="8"/>
      <c r="Z172" s="8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8"/>
      <c r="W173" s="8"/>
      <c r="X173" s="8"/>
      <c r="Y173" s="8"/>
      <c r="Z173" s="8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8"/>
      <c r="W174" s="8"/>
      <c r="X174" s="8"/>
      <c r="Y174" s="8"/>
      <c r="Z174" s="8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8"/>
      <c r="W175" s="8"/>
      <c r="X175" s="8"/>
      <c r="Y175" s="8"/>
      <c r="Z175" s="8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8"/>
      <c r="W176" s="8"/>
      <c r="X176" s="8"/>
      <c r="Y176" s="8"/>
      <c r="Z176" s="8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8"/>
      <c r="W177" s="8"/>
      <c r="X177" s="8"/>
      <c r="Y177" s="8"/>
      <c r="Z177" s="8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8"/>
      <c r="W178" s="8"/>
      <c r="X178" s="8"/>
      <c r="Y178" s="8"/>
      <c r="Z178" s="8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8"/>
      <c r="W179" s="8"/>
      <c r="X179" s="8"/>
      <c r="Y179" s="8"/>
      <c r="Z179" s="8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8"/>
      <c r="W180" s="8"/>
      <c r="X180" s="8"/>
      <c r="Y180" s="8"/>
      <c r="Z180" s="8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8"/>
      <c r="W181" s="8"/>
      <c r="X181" s="8"/>
      <c r="Y181" s="8"/>
      <c r="Z181" s="8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8"/>
      <c r="W182" s="8"/>
      <c r="X182" s="8"/>
      <c r="Y182" s="8"/>
      <c r="Z182" s="8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8"/>
      <c r="W183" s="8"/>
      <c r="X183" s="8"/>
      <c r="Y183" s="8"/>
      <c r="Z183" s="8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8"/>
      <c r="W184" s="8"/>
      <c r="X184" s="8"/>
      <c r="Y184" s="8"/>
      <c r="Z184" s="8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8"/>
      <c r="W185" s="8"/>
      <c r="X185" s="8"/>
      <c r="Y185" s="8"/>
      <c r="Z185" s="8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8"/>
      <c r="W186" s="8"/>
      <c r="X186" s="8"/>
      <c r="Y186" s="8"/>
      <c r="Z186" s="8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8"/>
      <c r="W187" s="8"/>
      <c r="X187" s="8"/>
      <c r="Y187" s="8"/>
      <c r="Z187" s="8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8"/>
      <c r="W188" s="8"/>
      <c r="X188" s="8"/>
      <c r="Y188" s="8"/>
      <c r="Z188" s="8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8"/>
      <c r="W189" s="8"/>
      <c r="X189" s="8"/>
      <c r="Y189" s="8"/>
      <c r="Z189" s="8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8"/>
      <c r="W190" s="8"/>
      <c r="X190" s="8"/>
      <c r="Y190" s="8"/>
      <c r="Z190" s="8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8"/>
      <c r="W191" s="8"/>
      <c r="X191" s="8"/>
      <c r="Y191" s="8"/>
      <c r="Z191" s="8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8"/>
      <c r="W192" s="8"/>
      <c r="X192" s="8"/>
      <c r="Y192" s="8"/>
      <c r="Z192" s="8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8"/>
      <c r="W193" s="8"/>
      <c r="X193" s="8"/>
      <c r="Y193" s="8"/>
      <c r="Z193" s="8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8"/>
      <c r="W194" s="8"/>
      <c r="X194" s="8"/>
      <c r="Y194" s="8"/>
      <c r="Z194" s="8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8"/>
      <c r="W195" s="8"/>
      <c r="X195" s="8"/>
      <c r="Y195" s="8"/>
      <c r="Z195" s="8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8"/>
      <c r="W196" s="8"/>
      <c r="X196" s="8"/>
      <c r="Y196" s="8"/>
      <c r="Z196" s="8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8"/>
      <c r="W197" s="8"/>
      <c r="X197" s="8"/>
      <c r="Y197" s="8"/>
      <c r="Z197" s="8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8"/>
      <c r="W198" s="8"/>
      <c r="X198" s="8"/>
      <c r="Y198" s="8"/>
      <c r="Z198" s="8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8"/>
      <c r="W199" s="8"/>
      <c r="X199" s="8"/>
      <c r="Y199" s="8"/>
      <c r="Z199" s="8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8"/>
      <c r="W200" s="8"/>
      <c r="X200" s="8"/>
      <c r="Y200" s="8"/>
      <c r="Z200" s="8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8"/>
      <c r="W201" s="8"/>
      <c r="X201" s="8"/>
      <c r="Y201" s="8"/>
      <c r="Z201" s="8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8"/>
      <c r="W202" s="8"/>
      <c r="X202" s="8"/>
      <c r="Y202" s="8"/>
      <c r="Z202" s="8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8"/>
      <c r="W203" s="8"/>
      <c r="X203" s="8"/>
      <c r="Y203" s="8"/>
      <c r="Z203" s="8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8"/>
      <c r="W204" s="8"/>
      <c r="X204" s="8"/>
      <c r="Y204" s="8"/>
      <c r="Z204" s="8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8"/>
      <c r="W205" s="8"/>
      <c r="X205" s="8"/>
      <c r="Y205" s="8"/>
      <c r="Z205" s="8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8"/>
      <c r="W206" s="8"/>
      <c r="X206" s="8"/>
      <c r="Y206" s="8"/>
      <c r="Z206" s="8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8"/>
      <c r="W207" s="8"/>
      <c r="X207" s="8"/>
      <c r="Y207" s="8"/>
      <c r="Z207" s="8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8"/>
      <c r="W208" s="8"/>
      <c r="X208" s="8"/>
      <c r="Y208" s="8"/>
      <c r="Z208" s="8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8"/>
      <c r="W209" s="8"/>
      <c r="X209" s="8"/>
      <c r="Y209" s="8"/>
      <c r="Z209" s="8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8"/>
      <c r="W210" s="8"/>
      <c r="X210" s="8"/>
      <c r="Y210" s="8"/>
      <c r="Z210" s="8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8"/>
      <c r="W211" s="8"/>
      <c r="X211" s="8"/>
      <c r="Y211" s="8"/>
      <c r="Z211" s="8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8"/>
      <c r="W212" s="8"/>
      <c r="X212" s="8"/>
      <c r="Y212" s="8"/>
      <c r="Z212" s="8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8"/>
      <c r="W213" s="8"/>
      <c r="X213" s="8"/>
      <c r="Y213" s="8"/>
      <c r="Z213" s="8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8"/>
      <c r="W214" s="8"/>
      <c r="X214" s="8"/>
      <c r="Y214" s="8"/>
      <c r="Z214" s="8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8"/>
      <c r="W215" s="8"/>
      <c r="X215" s="8"/>
      <c r="Y215" s="8"/>
      <c r="Z215" s="8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8"/>
      <c r="W216" s="8"/>
      <c r="X216" s="8"/>
      <c r="Y216" s="8"/>
      <c r="Z216" s="8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8"/>
      <c r="W217" s="8"/>
      <c r="X217" s="8"/>
      <c r="Y217" s="8"/>
      <c r="Z217" s="8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8"/>
      <c r="W218" s="8"/>
      <c r="X218" s="8"/>
      <c r="Y218" s="8"/>
      <c r="Z218" s="8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8"/>
      <c r="W219" s="8"/>
      <c r="X219" s="8"/>
      <c r="Y219" s="8"/>
      <c r="Z219" s="8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8"/>
      <c r="W220" s="8"/>
      <c r="X220" s="8"/>
      <c r="Y220" s="8"/>
      <c r="Z220" s="8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8"/>
      <c r="W221" s="8"/>
      <c r="X221" s="8"/>
      <c r="Y221" s="8"/>
      <c r="Z221" s="8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8"/>
      <c r="W222" s="8"/>
      <c r="X222" s="8"/>
      <c r="Y222" s="8"/>
      <c r="Z222" s="8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8"/>
      <c r="W223" s="8"/>
      <c r="X223" s="8"/>
      <c r="Y223" s="8"/>
      <c r="Z223" s="8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8"/>
      <c r="W224" s="8"/>
      <c r="X224" s="8"/>
      <c r="Y224" s="8"/>
      <c r="Z224" s="8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8"/>
      <c r="W225" s="8"/>
      <c r="X225" s="8"/>
      <c r="Y225" s="8"/>
      <c r="Z225" s="8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8"/>
      <c r="W226" s="8"/>
      <c r="X226" s="8"/>
      <c r="Y226" s="8"/>
      <c r="Z226" s="8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8"/>
      <c r="W227" s="8"/>
      <c r="X227" s="8"/>
      <c r="Y227" s="8"/>
      <c r="Z227" s="8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8"/>
      <c r="W228" s="8"/>
      <c r="X228" s="8"/>
      <c r="Y228" s="8"/>
      <c r="Z228" s="8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8"/>
      <c r="W229" s="8"/>
      <c r="X229" s="8"/>
      <c r="Y229" s="8"/>
      <c r="Z229" s="8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8"/>
      <c r="W230" s="8"/>
      <c r="X230" s="8"/>
      <c r="Y230" s="8"/>
      <c r="Z230" s="8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8"/>
      <c r="W231" s="8"/>
      <c r="X231" s="8"/>
      <c r="Y231" s="8"/>
      <c r="Z231" s="8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8"/>
      <c r="W232" s="8"/>
      <c r="X232" s="8"/>
      <c r="Y232" s="8"/>
      <c r="Z232" s="8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8"/>
      <c r="W233" s="8"/>
      <c r="X233" s="8"/>
      <c r="Y233" s="8"/>
      <c r="Z233" s="8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8"/>
      <c r="W234" s="8"/>
      <c r="X234" s="8"/>
      <c r="Y234" s="8"/>
      <c r="Z234" s="8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8"/>
      <c r="W235" s="8"/>
      <c r="X235" s="8"/>
      <c r="Y235" s="8"/>
      <c r="Z235" s="8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8"/>
      <c r="W236" s="8"/>
      <c r="X236" s="8"/>
      <c r="Y236" s="8"/>
      <c r="Z236" s="8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8"/>
      <c r="W237" s="8"/>
      <c r="X237" s="8"/>
      <c r="Y237" s="8"/>
      <c r="Z237" s="8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8"/>
      <c r="W238" s="8"/>
      <c r="X238" s="8"/>
      <c r="Y238" s="8"/>
      <c r="Z238" s="8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8"/>
      <c r="W239" s="8"/>
      <c r="X239" s="8"/>
      <c r="Y239" s="8"/>
      <c r="Z239" s="8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8"/>
      <c r="W240" s="8"/>
      <c r="X240" s="8"/>
      <c r="Y240" s="8"/>
      <c r="Z240" s="8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8"/>
      <c r="W241" s="8"/>
      <c r="X241" s="8"/>
      <c r="Y241" s="8"/>
      <c r="Z241" s="8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8"/>
      <c r="W242" s="8"/>
      <c r="X242" s="8"/>
      <c r="Y242" s="8"/>
      <c r="Z242" s="8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8"/>
      <c r="W243" s="8"/>
      <c r="X243" s="8"/>
      <c r="Y243" s="8"/>
      <c r="Z243" s="8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8"/>
      <c r="W244" s="8"/>
      <c r="X244" s="8"/>
      <c r="Y244" s="8"/>
      <c r="Z244" s="8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8"/>
      <c r="W245" s="8"/>
      <c r="X245" s="8"/>
      <c r="Y245" s="8"/>
      <c r="Z245" s="8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8"/>
      <c r="W246" s="8"/>
      <c r="X246" s="8"/>
      <c r="Y246" s="8"/>
      <c r="Z246" s="8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8"/>
      <c r="W247" s="8"/>
      <c r="X247" s="8"/>
      <c r="Y247" s="8"/>
      <c r="Z247" s="8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8"/>
      <c r="W248" s="8"/>
      <c r="X248" s="8"/>
      <c r="Y248" s="8"/>
      <c r="Z248" s="8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8"/>
      <c r="W249" s="8"/>
      <c r="X249" s="8"/>
      <c r="Y249" s="8"/>
      <c r="Z249" s="8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8"/>
      <c r="W250" s="8"/>
      <c r="X250" s="8"/>
      <c r="Y250" s="8"/>
      <c r="Z250" s="8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8"/>
      <c r="W251" s="8"/>
      <c r="X251" s="8"/>
      <c r="Y251" s="8"/>
      <c r="Z251" s="8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8"/>
      <c r="W252" s="8"/>
      <c r="X252" s="8"/>
      <c r="Y252" s="8"/>
      <c r="Z252" s="8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8"/>
      <c r="W253" s="8"/>
      <c r="X253" s="8"/>
      <c r="Y253" s="8"/>
      <c r="Z253" s="8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8"/>
      <c r="W254" s="8"/>
      <c r="X254" s="8"/>
      <c r="Y254" s="8"/>
      <c r="Z254" s="8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8"/>
      <c r="W255" s="8"/>
      <c r="X255" s="8"/>
      <c r="Y255" s="8"/>
      <c r="Z255" s="8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8"/>
      <c r="W256" s="8"/>
      <c r="X256" s="8"/>
      <c r="Y256" s="8"/>
      <c r="Z256" s="8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8"/>
      <c r="W257" s="8"/>
      <c r="X257" s="8"/>
      <c r="Y257" s="8"/>
      <c r="Z257" s="8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8"/>
      <c r="W258" s="8"/>
      <c r="X258" s="8"/>
      <c r="Y258" s="8"/>
      <c r="Z258" s="8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8"/>
      <c r="W259" s="8"/>
      <c r="X259" s="8"/>
      <c r="Y259" s="8"/>
      <c r="Z259" s="8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8"/>
      <c r="W260" s="8"/>
      <c r="X260" s="8"/>
      <c r="Y260" s="8"/>
      <c r="Z260" s="8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8"/>
      <c r="W261" s="8"/>
      <c r="X261" s="8"/>
      <c r="Y261" s="8"/>
      <c r="Z261" s="8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8"/>
      <c r="W262" s="8"/>
      <c r="X262" s="8"/>
      <c r="Y262" s="8"/>
      <c r="Z262" s="8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8"/>
      <c r="W263" s="8"/>
      <c r="X263" s="8"/>
      <c r="Y263" s="8"/>
      <c r="Z263" s="8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8"/>
      <c r="W264" s="8"/>
      <c r="X264" s="8"/>
      <c r="Y264" s="8"/>
      <c r="Z264" s="8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8"/>
      <c r="W265" s="8"/>
      <c r="X265" s="8"/>
      <c r="Y265" s="8"/>
      <c r="Z265" s="8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8"/>
      <c r="W266" s="8"/>
      <c r="X266" s="8"/>
      <c r="Y266" s="8"/>
      <c r="Z266" s="8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60"/>
      <c r="B1" s="261" t="s">
        <v>172</v>
      </c>
      <c r="U1" s="260"/>
      <c r="V1" s="8"/>
      <c r="W1" s="8"/>
      <c r="X1" s="8"/>
      <c r="Y1" s="8"/>
      <c r="Z1" s="8"/>
    </row>
    <row r="2">
      <c r="A2" s="260"/>
      <c r="B2" s="262" t="s">
        <v>173</v>
      </c>
      <c r="U2" s="260"/>
      <c r="V2" s="8"/>
      <c r="W2" s="8"/>
      <c r="X2" s="8"/>
      <c r="Y2" s="8"/>
      <c r="Z2" s="8"/>
    </row>
    <row r="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8"/>
      <c r="W3" s="8"/>
      <c r="X3" s="8"/>
      <c r="Y3" s="8"/>
      <c r="Z3" s="8"/>
    </row>
    <row r="4">
      <c r="A4" s="260"/>
      <c r="B4" s="260" t="s">
        <v>174</v>
      </c>
      <c r="C4" s="260"/>
      <c r="D4" s="260" t="s">
        <v>6</v>
      </c>
      <c r="E4" s="260"/>
      <c r="F4" s="260"/>
      <c r="G4" s="260"/>
      <c r="H4" s="260"/>
      <c r="I4" s="260"/>
      <c r="J4" s="260"/>
      <c r="K4" s="260"/>
      <c r="L4" s="260"/>
      <c r="M4" s="260" t="s">
        <v>175</v>
      </c>
      <c r="N4" s="260"/>
      <c r="O4" s="260"/>
      <c r="P4" s="260"/>
      <c r="Q4" s="260"/>
      <c r="R4" s="260"/>
      <c r="S4" s="260"/>
      <c r="T4" s="260"/>
      <c r="U4" s="260"/>
      <c r="V4" s="8"/>
      <c r="W4" s="8"/>
      <c r="X4" s="8"/>
      <c r="Y4" s="8"/>
      <c r="Z4" s="8"/>
    </row>
    <row r="5">
      <c r="A5" s="260"/>
      <c r="B5" s="260" t="s">
        <v>176</v>
      </c>
      <c r="C5" s="260"/>
      <c r="D5" s="260" t="s">
        <v>6</v>
      </c>
      <c r="E5" s="260"/>
      <c r="F5" s="260"/>
      <c r="G5" s="260"/>
      <c r="H5" s="260"/>
      <c r="I5" s="260"/>
      <c r="J5" s="260"/>
      <c r="K5" s="260"/>
      <c r="L5" s="260"/>
      <c r="M5" s="260" t="s">
        <v>177</v>
      </c>
      <c r="N5" s="260"/>
      <c r="O5" s="260"/>
      <c r="P5" s="260"/>
      <c r="Q5" s="260"/>
      <c r="R5" s="260"/>
      <c r="S5" s="260"/>
      <c r="T5" s="260"/>
      <c r="U5" s="260"/>
      <c r="V5" s="8"/>
      <c r="W5" s="8"/>
      <c r="X5" s="8"/>
      <c r="Y5" s="8"/>
      <c r="Z5" s="8"/>
    </row>
    <row r="6">
      <c r="A6" s="260"/>
      <c r="B6" s="260" t="s">
        <v>178</v>
      </c>
      <c r="C6" s="260"/>
      <c r="D6" s="260" t="s">
        <v>6</v>
      </c>
      <c r="E6" s="260"/>
      <c r="F6" s="260"/>
      <c r="G6" s="260"/>
      <c r="H6" s="260"/>
      <c r="I6" s="260"/>
      <c r="J6" s="260"/>
      <c r="K6" s="260"/>
      <c r="L6" s="260"/>
      <c r="M6" s="260" t="s">
        <v>179</v>
      </c>
      <c r="N6" s="260"/>
      <c r="O6" s="260"/>
      <c r="P6" s="260"/>
      <c r="Q6" s="260"/>
      <c r="R6" s="260"/>
      <c r="S6" s="260"/>
      <c r="T6" s="260"/>
      <c r="U6" s="260"/>
      <c r="V6" s="8"/>
      <c r="W6" s="8"/>
      <c r="X6" s="8"/>
      <c r="Y6" s="8"/>
      <c r="Z6" s="8"/>
    </row>
    <row r="7">
      <c r="A7" s="260"/>
      <c r="B7" s="260" t="s">
        <v>180</v>
      </c>
      <c r="C7" s="260"/>
      <c r="D7" s="260" t="s">
        <v>6</v>
      </c>
      <c r="E7" s="260"/>
      <c r="F7" s="260"/>
      <c r="G7" s="260"/>
      <c r="H7" s="260"/>
      <c r="I7" s="260"/>
      <c r="J7" s="260"/>
      <c r="K7" s="260"/>
      <c r="L7" s="260"/>
      <c r="M7" s="8"/>
      <c r="N7" s="260"/>
      <c r="O7" s="260"/>
      <c r="P7" s="260"/>
      <c r="Q7" s="260"/>
      <c r="R7" s="260"/>
      <c r="S7" s="263"/>
      <c r="U7" s="260"/>
      <c r="V7" s="8"/>
      <c r="W7" s="8"/>
      <c r="X7" s="8"/>
      <c r="Y7" s="8"/>
      <c r="Z7" s="8"/>
    </row>
    <row r="8">
      <c r="A8" s="260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4"/>
      <c r="U8" s="260"/>
      <c r="V8" s="8"/>
      <c r="W8" s="8"/>
      <c r="X8" s="8"/>
      <c r="Y8" s="8"/>
      <c r="Z8" s="8"/>
    </row>
    <row r="9">
      <c r="A9" s="260"/>
      <c r="B9" s="265" t="s">
        <v>181</v>
      </c>
      <c r="C9" s="266" t="s">
        <v>182</v>
      </c>
      <c r="D9" s="5"/>
      <c r="E9" s="23"/>
      <c r="F9" s="267" t="s">
        <v>183</v>
      </c>
      <c r="G9" s="37"/>
      <c r="H9" s="37"/>
      <c r="I9" s="37"/>
      <c r="J9" s="37"/>
      <c r="K9" s="38"/>
      <c r="L9" s="267" t="s">
        <v>184</v>
      </c>
      <c r="M9" s="37"/>
      <c r="N9" s="37"/>
      <c r="O9" s="37"/>
      <c r="P9" s="37"/>
      <c r="Q9" s="37"/>
      <c r="R9" s="37"/>
      <c r="S9" s="38"/>
      <c r="T9" s="265" t="s">
        <v>185</v>
      </c>
      <c r="U9" s="260"/>
      <c r="V9" s="8"/>
      <c r="W9" s="8"/>
      <c r="X9" s="8"/>
      <c r="Y9" s="8"/>
      <c r="Z9" s="8"/>
    </row>
    <row r="10">
      <c r="A10" s="260"/>
      <c r="B10" s="12"/>
      <c r="C10" s="135"/>
      <c r="E10" s="109"/>
      <c r="F10" s="268" t="s">
        <v>186</v>
      </c>
      <c r="G10" s="268" t="s">
        <v>187</v>
      </c>
      <c r="H10" s="268" t="s">
        <v>188</v>
      </c>
      <c r="I10" s="269" t="s">
        <v>189</v>
      </c>
      <c r="J10" s="23"/>
      <c r="K10" s="268" t="s">
        <v>190</v>
      </c>
      <c r="L10" s="265" t="s">
        <v>191</v>
      </c>
      <c r="M10" s="265" t="s">
        <v>192</v>
      </c>
      <c r="N10" s="267" t="s">
        <v>193</v>
      </c>
      <c r="O10" s="37"/>
      <c r="P10" s="37"/>
      <c r="Q10" s="37"/>
      <c r="R10" s="37"/>
      <c r="S10" s="38"/>
      <c r="T10" s="12"/>
      <c r="U10" s="270"/>
      <c r="V10" s="8"/>
      <c r="W10" s="8"/>
      <c r="X10" s="8"/>
      <c r="Y10" s="8"/>
      <c r="Z10" s="8"/>
    </row>
    <row r="11">
      <c r="A11" s="260"/>
      <c r="B11" s="12"/>
      <c r="C11" s="135"/>
      <c r="E11" s="109"/>
      <c r="F11" s="12"/>
      <c r="G11" s="12"/>
      <c r="H11" s="12"/>
      <c r="I11" s="135"/>
      <c r="J11" s="109"/>
      <c r="K11" s="12"/>
      <c r="L11" s="12"/>
      <c r="M11" s="12"/>
      <c r="N11" s="267" t="s">
        <v>194</v>
      </c>
      <c r="O11" s="37"/>
      <c r="P11" s="38"/>
      <c r="Q11" s="267" t="s">
        <v>195</v>
      </c>
      <c r="R11" s="37"/>
      <c r="S11" s="38"/>
      <c r="T11" s="12"/>
      <c r="U11" s="270"/>
      <c r="V11" s="8"/>
      <c r="W11" s="8"/>
      <c r="X11" s="8"/>
      <c r="Y11" s="8"/>
      <c r="Z11" s="8"/>
    </row>
    <row r="12">
      <c r="A12" s="260"/>
      <c r="B12" s="18"/>
      <c r="C12" s="49"/>
      <c r="D12" s="11"/>
      <c r="E12" s="50"/>
      <c r="F12" s="18"/>
      <c r="G12" s="18"/>
      <c r="H12" s="18"/>
      <c r="I12" s="49"/>
      <c r="J12" s="50"/>
      <c r="K12" s="18"/>
      <c r="L12" s="18"/>
      <c r="M12" s="18"/>
      <c r="N12" s="271" t="s">
        <v>196</v>
      </c>
      <c r="O12" s="271" t="s">
        <v>197</v>
      </c>
      <c r="P12" s="271" t="s">
        <v>198</v>
      </c>
      <c r="Q12" s="271" t="s">
        <v>196</v>
      </c>
      <c r="R12" s="271" t="s">
        <v>199</v>
      </c>
      <c r="S12" s="271" t="s">
        <v>200</v>
      </c>
      <c r="T12" s="18"/>
      <c r="U12" s="260"/>
      <c r="V12" s="8"/>
      <c r="W12" s="8"/>
      <c r="X12" s="8"/>
      <c r="Y12" s="8"/>
      <c r="Z12" s="8"/>
    </row>
    <row r="13">
      <c r="A13" s="260"/>
      <c r="B13" s="272" t="s">
        <v>201</v>
      </c>
      <c r="C13" s="273" t="s">
        <v>202</v>
      </c>
      <c r="D13" s="37"/>
      <c r="E13" s="38"/>
      <c r="F13" s="272" t="s">
        <v>203</v>
      </c>
      <c r="G13" s="272" t="s">
        <v>204</v>
      </c>
      <c r="H13" s="272" t="s">
        <v>205</v>
      </c>
      <c r="I13" s="273" t="s">
        <v>206</v>
      </c>
      <c r="J13" s="38"/>
      <c r="K13" s="272" t="s">
        <v>207</v>
      </c>
      <c r="L13" s="272" t="s">
        <v>208</v>
      </c>
      <c r="M13" s="272" t="s">
        <v>209</v>
      </c>
      <c r="N13" s="272" t="s">
        <v>210</v>
      </c>
      <c r="O13" s="272" t="s">
        <v>211</v>
      </c>
      <c r="P13" s="272" t="s">
        <v>212</v>
      </c>
      <c r="Q13" s="272" t="s">
        <v>213</v>
      </c>
      <c r="R13" s="272" t="s">
        <v>214</v>
      </c>
      <c r="S13" s="272" t="s">
        <v>215</v>
      </c>
      <c r="T13" s="272" t="s">
        <v>216</v>
      </c>
      <c r="U13" s="260"/>
      <c r="V13" s="8"/>
      <c r="W13" s="8"/>
      <c r="X13" s="8"/>
      <c r="Y13" s="8"/>
      <c r="Z13" s="8"/>
    </row>
    <row r="14">
      <c r="A14" s="274"/>
      <c r="B14" s="275">
        <f>DPA!B31</f>
        <v>5</v>
      </c>
      <c r="C14" s="275" t="str">
        <f>DPA!C31</f>
        <v>BELANJA DAERAH</v>
      </c>
      <c r="D14" s="275"/>
      <c r="E14" s="275"/>
      <c r="F14" s="275"/>
      <c r="G14" s="275"/>
      <c r="H14" s="275"/>
      <c r="I14" s="275"/>
      <c r="J14" s="275"/>
      <c r="K14" s="276">
        <f>DPA!S31</f>
        <v>94371800</v>
      </c>
      <c r="L14" s="277"/>
      <c r="M14" s="277">
        <f t="shared" ref="M14:M15" si="1">K14</f>
        <v>94371800</v>
      </c>
      <c r="N14" s="278"/>
      <c r="O14" s="278"/>
      <c r="P14" s="278"/>
      <c r="Q14" s="278"/>
      <c r="R14" s="277"/>
      <c r="S14" s="277"/>
      <c r="T14" s="277"/>
      <c r="U14" s="279"/>
      <c r="V14" s="72"/>
      <c r="W14" s="72"/>
      <c r="X14" s="72"/>
      <c r="Y14" s="72"/>
      <c r="Z14" s="72"/>
    </row>
    <row r="15">
      <c r="A15" s="274"/>
      <c r="B15" s="275" t="str">
        <f>DPA!B32</f>
        <v>5.1</v>
      </c>
      <c r="C15" s="275" t="str">
        <f>DPA!C32</f>
        <v>BELANJA OPERASI</v>
      </c>
      <c r="D15" s="275"/>
      <c r="E15" s="275"/>
      <c r="F15" s="277"/>
      <c r="G15" s="280"/>
      <c r="H15" s="280"/>
      <c r="I15" s="280"/>
      <c r="J15" s="280"/>
      <c r="K15" s="276">
        <f>DPA!S32</f>
        <v>32999400</v>
      </c>
      <c r="L15" s="277"/>
      <c r="M15" s="277">
        <f t="shared" si="1"/>
        <v>32999400</v>
      </c>
      <c r="N15" s="278"/>
      <c r="O15" s="278"/>
      <c r="P15" s="278"/>
      <c r="Q15" s="278"/>
      <c r="R15" s="277"/>
      <c r="S15" s="277"/>
      <c r="T15" s="277"/>
      <c r="U15" s="279"/>
      <c r="V15" s="72"/>
      <c r="W15" s="72"/>
      <c r="X15" s="72"/>
      <c r="Y15" s="72"/>
      <c r="Z15" s="72"/>
    </row>
    <row r="16">
      <c r="A16" s="274"/>
      <c r="B16" s="275"/>
      <c r="C16" s="275"/>
      <c r="D16" s="275"/>
      <c r="E16" s="275"/>
      <c r="F16" s="277"/>
      <c r="G16" s="280"/>
      <c r="H16" s="280"/>
      <c r="I16" s="280"/>
      <c r="J16" s="280"/>
      <c r="K16" s="276"/>
      <c r="L16" s="277"/>
      <c r="M16" s="277"/>
      <c r="N16" s="278"/>
      <c r="O16" s="278"/>
      <c r="P16" s="278"/>
      <c r="Q16" s="278"/>
      <c r="R16" s="277"/>
      <c r="S16" s="277"/>
      <c r="T16" s="277"/>
      <c r="U16" s="279"/>
      <c r="V16" s="72"/>
      <c r="W16" s="72"/>
      <c r="X16" s="72"/>
      <c r="Y16" s="72"/>
      <c r="Z16" s="72"/>
    </row>
    <row r="17">
      <c r="A17" s="274"/>
      <c r="B17" s="275" t="str">
        <f>DPA!B34</f>
        <v> 5.2.2.</v>
      </c>
      <c r="C17" s="275" t="str">
        <f>DPA!C34</f>
        <v> Belanja Barang dan Jasa</v>
      </c>
      <c r="D17" s="275"/>
      <c r="E17" s="275"/>
      <c r="F17" s="277"/>
      <c r="G17" s="280"/>
      <c r="H17" s="280"/>
      <c r="I17" s="280"/>
      <c r="J17" s="280"/>
      <c r="K17" s="276">
        <f>DPA!S34</f>
        <v>32999400</v>
      </c>
      <c r="L17" s="277"/>
      <c r="M17" s="277">
        <f>K17</f>
        <v>32999400</v>
      </c>
      <c r="N17" s="278"/>
      <c r="O17" s="278"/>
      <c r="P17" s="278"/>
      <c r="Q17" s="278"/>
      <c r="R17" s="185"/>
      <c r="S17" s="185"/>
      <c r="T17" s="277"/>
      <c r="U17" s="279"/>
      <c r="V17" s="72"/>
      <c r="W17" s="72"/>
      <c r="X17" s="72"/>
      <c r="Y17" s="72"/>
      <c r="Z17" s="72"/>
    </row>
    <row r="18">
      <c r="A18" s="274"/>
      <c r="B18" s="275"/>
      <c r="C18" s="275"/>
      <c r="D18" s="275"/>
      <c r="E18" s="275"/>
      <c r="F18" s="277"/>
      <c r="G18" s="280"/>
      <c r="H18" s="280"/>
      <c r="I18" s="280"/>
      <c r="J18" s="280"/>
      <c r="K18" s="276"/>
      <c r="L18" s="277"/>
      <c r="M18" s="277"/>
      <c r="N18" s="278"/>
      <c r="O18" s="278"/>
      <c r="P18" s="278"/>
      <c r="Q18" s="278"/>
      <c r="R18" s="277"/>
      <c r="S18" s="278"/>
      <c r="T18" s="277"/>
      <c r="U18" s="279"/>
      <c r="V18" s="72"/>
      <c r="W18" s="72"/>
      <c r="X18" s="72"/>
      <c r="Y18" s="72"/>
      <c r="Z18" s="72"/>
    </row>
    <row r="19">
      <c r="A19" s="274"/>
      <c r="B19" s="275" t="str">
        <f>DPA!B36</f>
        <v> 5.2.2.01</v>
      </c>
      <c r="C19" s="275" t="str">
        <f>DPA!C36</f>
        <v>Belanja Bahan Pakai Habis</v>
      </c>
      <c r="D19" s="275"/>
      <c r="E19" s="275"/>
      <c r="F19" s="277"/>
      <c r="G19" s="280"/>
      <c r="H19" s="280"/>
      <c r="I19" s="280"/>
      <c r="J19" s="280"/>
      <c r="K19" s="276">
        <f>DPA!S36</f>
        <v>1791400</v>
      </c>
      <c r="L19" s="277"/>
      <c r="M19" s="277">
        <f>K19</f>
        <v>1791400</v>
      </c>
      <c r="N19" s="278"/>
      <c r="O19" s="278"/>
      <c r="P19" s="278"/>
      <c r="Q19" s="278"/>
      <c r="R19" s="277"/>
      <c r="S19" s="278"/>
      <c r="T19" s="277"/>
      <c r="U19" s="279"/>
      <c r="V19" s="72"/>
      <c r="W19" s="72"/>
      <c r="X19" s="72"/>
      <c r="Y19" s="72"/>
      <c r="Z19" s="72"/>
    </row>
    <row r="20">
      <c r="A20" s="260"/>
      <c r="B20" s="275"/>
      <c r="C20" s="275"/>
      <c r="D20" s="275"/>
      <c r="E20" s="275"/>
      <c r="F20" s="281"/>
      <c r="G20" s="282"/>
      <c r="H20" s="282"/>
      <c r="I20" s="282"/>
      <c r="J20" s="282"/>
      <c r="K20" s="276"/>
      <c r="L20" s="281"/>
      <c r="M20" s="277"/>
      <c r="N20" s="283"/>
      <c r="O20" s="283"/>
      <c r="P20" s="278"/>
      <c r="Q20" s="283"/>
      <c r="R20" s="277"/>
      <c r="S20" s="278"/>
      <c r="T20" s="277"/>
      <c r="U20" s="270"/>
      <c r="V20" s="8"/>
      <c r="W20" s="8"/>
      <c r="X20" s="8"/>
      <c r="Y20" s="8"/>
      <c r="Z20" s="8"/>
    </row>
    <row r="21" ht="15.75" customHeight="1">
      <c r="A21" s="260"/>
      <c r="B21" s="275" t="str">
        <f>DPA!B38</f>
        <v>5.1.02.01.01.0024</v>
      </c>
      <c r="C21" s="275" t="str">
        <f>DPA!C38</f>
        <v>Belanja Alat/Bahan untuk Kegiatan Kantor-Alat Tulis Kantor</v>
      </c>
      <c r="D21" s="275"/>
      <c r="E21" s="275"/>
      <c r="F21" s="281"/>
      <c r="G21" s="282"/>
      <c r="H21" s="282"/>
      <c r="I21" s="282"/>
      <c r="J21" s="282"/>
      <c r="K21" s="276">
        <f>DPA!S38</f>
        <v>656000</v>
      </c>
      <c r="L21" s="277"/>
      <c r="M21" s="277">
        <f t="shared" ref="M21:M28" si="2">K21</f>
        <v>656000</v>
      </c>
      <c r="N21" s="278"/>
      <c r="O21" s="278"/>
      <c r="P21" s="278"/>
      <c r="Q21" s="278"/>
      <c r="R21" s="277"/>
      <c r="S21" s="278"/>
      <c r="T21" s="277"/>
      <c r="U21" s="270"/>
      <c r="V21" s="8"/>
      <c r="W21" s="8"/>
      <c r="X21" s="8"/>
      <c r="Y21" s="8"/>
      <c r="Z21" s="8"/>
    </row>
    <row r="22" ht="15.75" customHeight="1">
      <c r="A22" s="260"/>
      <c r="B22" s="275"/>
      <c r="C22" s="275"/>
      <c r="D22" s="284" t="str">
        <f>DPA!D39</f>
        <v>-</v>
      </c>
      <c r="E22" s="285" t="str">
        <f>DPA!E39</f>
        <v>Alat Tulis Kantor
Spesifikasi : Stof Map Folio</v>
      </c>
      <c r="F22" s="281"/>
      <c r="G22" s="282"/>
      <c r="H22" s="282"/>
      <c r="I22" s="282"/>
      <c r="J22" s="282"/>
      <c r="K22" s="276">
        <f>DPA!S39</f>
        <v>330000</v>
      </c>
      <c r="L22" s="277"/>
      <c r="M22" s="277">
        <f t="shared" si="2"/>
        <v>330000</v>
      </c>
      <c r="N22" s="278"/>
      <c r="O22" s="278"/>
      <c r="P22" s="278"/>
      <c r="Q22" s="278"/>
      <c r="R22" s="277"/>
      <c r="S22" s="278"/>
      <c r="T22" s="277"/>
      <c r="U22" s="270"/>
      <c r="V22" s="8"/>
      <c r="W22" s="8"/>
      <c r="X22" s="8"/>
      <c r="Y22" s="8"/>
      <c r="Z22" s="8"/>
    </row>
    <row r="23" ht="15.75" customHeight="1">
      <c r="A23" s="260"/>
      <c r="B23" s="275"/>
      <c r="C23" s="275"/>
      <c r="D23" s="284" t="str">
        <f>DPA!D40</f>
        <v>-</v>
      </c>
      <c r="E23" s="285" t="str">
        <f>DPA!E40</f>
        <v>Alat Tulis Kantor
Spesifikasi : Trigonal Clip No. 5 Atom</v>
      </c>
      <c r="F23" s="281"/>
      <c r="G23" s="282"/>
      <c r="H23" s="283"/>
      <c r="I23" s="282"/>
      <c r="J23" s="282"/>
      <c r="K23" s="276">
        <f>DPA!S40</f>
        <v>66000</v>
      </c>
      <c r="L23" s="281"/>
      <c r="M23" s="277">
        <f t="shared" si="2"/>
        <v>66000</v>
      </c>
      <c r="N23" s="283"/>
      <c r="O23" s="283"/>
      <c r="P23" s="283"/>
      <c r="Q23" s="283"/>
      <c r="R23" s="281"/>
      <c r="S23" s="283"/>
      <c r="T23" s="277"/>
      <c r="U23" s="270"/>
      <c r="V23" s="8"/>
      <c r="W23" s="8"/>
      <c r="X23" s="8"/>
      <c r="Y23" s="8"/>
      <c r="Z23" s="8"/>
    </row>
    <row r="24" ht="15.75" customHeight="1">
      <c r="A24" s="260"/>
      <c r="B24" s="275"/>
      <c r="C24" s="275"/>
      <c r="D24" s="284" t="str">
        <f>DPA!D41</f>
        <v>-</v>
      </c>
      <c r="E24" s="285" t="str">
        <f>DPA!E41</f>
        <v>Alat Tulis Kantor
Spesifikasi : Box File Jumbo Bantex</v>
      </c>
      <c r="F24" s="281"/>
      <c r="G24" s="272"/>
      <c r="H24" s="282"/>
      <c r="I24" s="282"/>
      <c r="J24" s="282"/>
      <c r="K24" s="276">
        <f>DPA!S41</f>
        <v>260000</v>
      </c>
      <c r="L24" s="281"/>
      <c r="M24" s="277">
        <f t="shared" si="2"/>
        <v>260000</v>
      </c>
      <c r="N24" s="283"/>
      <c r="O24" s="283"/>
      <c r="P24" s="283"/>
      <c r="Q24" s="283"/>
      <c r="R24" s="281"/>
      <c r="S24" s="283"/>
      <c r="T24" s="277"/>
      <c r="U24" s="260"/>
      <c r="V24" s="8"/>
      <c r="W24" s="8"/>
      <c r="X24" s="8"/>
      <c r="Y24" s="8"/>
      <c r="Z24" s="8"/>
    </row>
    <row r="25" ht="12.75" customHeight="1">
      <c r="A25" s="260"/>
      <c r="B25" s="275"/>
      <c r="C25" s="275"/>
      <c r="D25" s="275"/>
      <c r="E25" s="275"/>
      <c r="F25" s="281"/>
      <c r="G25" s="272"/>
      <c r="H25" s="282"/>
      <c r="I25" s="282"/>
      <c r="J25" s="282"/>
      <c r="K25" s="276" t="str">
        <f>DPA!S42</f>
        <v/>
      </c>
      <c r="L25" s="281"/>
      <c r="M25" s="277" t="str">
        <f t="shared" si="2"/>
        <v/>
      </c>
      <c r="N25" s="283"/>
      <c r="O25" s="283"/>
      <c r="P25" s="283"/>
      <c r="Q25" s="283"/>
      <c r="R25" s="281"/>
      <c r="S25" s="283"/>
      <c r="T25" s="277"/>
      <c r="U25" s="260"/>
      <c r="V25" s="8"/>
      <c r="W25" s="8"/>
      <c r="X25" s="8"/>
      <c r="Y25" s="8"/>
      <c r="Z25" s="8"/>
    </row>
    <row r="26" ht="15.75" customHeight="1">
      <c r="A26" s="260"/>
      <c r="B26" s="275" t="str">
        <f>DPA!B43</f>
        <v>5.1.02.01.01.0025</v>
      </c>
      <c r="C26" s="275" t="str">
        <f>DPA!C43</f>
        <v>Belanja Alat/Bahan untuk Kegiatan Kantor- Kertas dan Cover</v>
      </c>
      <c r="D26" s="275"/>
      <c r="E26" s="275"/>
      <c r="F26" s="281"/>
      <c r="G26" s="272"/>
      <c r="H26" s="282"/>
      <c r="I26" s="282"/>
      <c r="J26" s="282"/>
      <c r="K26" s="276">
        <f>DPA!S43</f>
        <v>441400</v>
      </c>
      <c r="L26" s="281"/>
      <c r="M26" s="277">
        <f t="shared" si="2"/>
        <v>441400</v>
      </c>
      <c r="N26" s="283"/>
      <c r="O26" s="283"/>
      <c r="P26" s="283"/>
      <c r="Q26" s="283"/>
      <c r="R26" s="281"/>
      <c r="S26" s="283"/>
      <c r="T26" s="277"/>
      <c r="U26" s="260"/>
      <c r="V26" s="8"/>
      <c r="W26" s="8"/>
      <c r="X26" s="8"/>
      <c r="Y26" s="8"/>
      <c r="Z26" s="8"/>
    </row>
    <row r="27" ht="15.75" customHeight="1">
      <c r="A27" s="260"/>
      <c r="B27" s="275"/>
      <c r="C27" s="275"/>
      <c r="D27" s="284" t="str">
        <f>DPA!D44</f>
        <v>-</v>
      </c>
      <c r="E27" s="285" t="str">
        <f>DPA!E44</f>
        <v>Kertas dan Cover
Spesifikasi : Kertas HVS A4 70 gr</v>
      </c>
      <c r="F27" s="281"/>
      <c r="G27" s="272"/>
      <c r="H27" s="282"/>
      <c r="I27" s="282"/>
      <c r="J27" s="282"/>
      <c r="K27" s="276">
        <f>DPA!S44</f>
        <v>164800</v>
      </c>
      <c r="L27" s="281"/>
      <c r="M27" s="277">
        <f t="shared" si="2"/>
        <v>164800</v>
      </c>
      <c r="N27" s="283"/>
      <c r="O27" s="283"/>
      <c r="P27" s="283"/>
      <c r="Q27" s="283"/>
      <c r="R27" s="281"/>
      <c r="S27" s="283"/>
      <c r="T27" s="277"/>
      <c r="U27" s="260"/>
      <c r="V27" s="8"/>
      <c r="W27" s="8"/>
      <c r="X27" s="8"/>
      <c r="Y27" s="8"/>
      <c r="Z27" s="8"/>
    </row>
    <row r="28" ht="15.75" customHeight="1">
      <c r="A28" s="260"/>
      <c r="B28" s="275"/>
      <c r="C28" s="275"/>
      <c r="D28" s="284" t="str">
        <f>DPA!D45</f>
        <v>-</v>
      </c>
      <c r="E28" s="285" t="str">
        <f>DPA!E45</f>
        <v>Kertas dan Cover
Spesifikasi : Kertas HVS F4 70 gr</v>
      </c>
      <c r="F28" s="281"/>
      <c r="G28" s="272"/>
      <c r="H28" s="282"/>
      <c r="I28" s="282"/>
      <c r="J28" s="282"/>
      <c r="K28" s="276">
        <f>DPA!S45</f>
        <v>276600</v>
      </c>
      <c r="L28" s="281"/>
      <c r="M28" s="277">
        <f t="shared" si="2"/>
        <v>276600</v>
      </c>
      <c r="N28" s="283"/>
      <c r="O28" s="283"/>
      <c r="P28" s="283"/>
      <c r="Q28" s="283"/>
      <c r="R28" s="281"/>
      <c r="S28" s="283"/>
      <c r="T28" s="277"/>
      <c r="U28" s="260"/>
      <c r="V28" s="8"/>
      <c r="W28" s="8"/>
      <c r="X28" s="8"/>
      <c r="Y28" s="8"/>
      <c r="Z28" s="8"/>
    </row>
    <row r="29" ht="15.75" customHeight="1">
      <c r="A29" s="260"/>
      <c r="B29" s="275"/>
      <c r="C29" s="275"/>
      <c r="D29" s="275"/>
      <c r="E29" s="275"/>
      <c r="F29" s="281"/>
      <c r="G29" s="272"/>
      <c r="H29" s="282"/>
      <c r="I29" s="282"/>
      <c r="J29" s="282"/>
      <c r="K29" s="276"/>
      <c r="L29" s="281"/>
      <c r="M29" s="277"/>
      <c r="N29" s="283"/>
      <c r="O29" s="283"/>
      <c r="P29" s="283"/>
      <c r="Q29" s="283"/>
      <c r="R29" s="281"/>
      <c r="S29" s="283"/>
      <c r="T29" s="277"/>
      <c r="U29" s="260"/>
      <c r="V29" s="8"/>
      <c r="W29" s="8"/>
      <c r="X29" s="8"/>
      <c r="Y29" s="8"/>
      <c r="Z29" s="8"/>
    </row>
    <row r="30" ht="15.75" customHeight="1">
      <c r="A30" s="260"/>
      <c r="B30" s="275" t="str">
        <f>DPA!B47</f>
        <v>5.1.02.01.01.0026</v>
      </c>
      <c r="C30" s="275" t="str">
        <f>DPA!C47</f>
        <v>Belanja Alat/Bahan untuk Kegiatan Kantor- Bahan Cetak</v>
      </c>
      <c r="D30" s="275"/>
      <c r="E30" s="275"/>
      <c r="F30" s="281"/>
      <c r="G30" s="272"/>
      <c r="H30" s="282"/>
      <c r="I30" s="282"/>
      <c r="J30" s="282"/>
      <c r="K30" s="276">
        <f>DPA!S47</f>
        <v>544000</v>
      </c>
      <c r="L30" s="281"/>
      <c r="M30" s="277">
        <f t="shared" ref="M30:M31" si="3">K30</f>
        <v>544000</v>
      </c>
      <c r="N30" s="283"/>
      <c r="O30" s="283"/>
      <c r="P30" s="283"/>
      <c r="Q30" s="283"/>
      <c r="R30" s="281"/>
      <c r="S30" s="283"/>
      <c r="T30" s="277"/>
      <c r="U30" s="260"/>
      <c r="V30" s="8"/>
      <c r="W30" s="8"/>
      <c r="X30" s="8"/>
      <c r="Y30" s="8"/>
      <c r="Z30" s="8"/>
    </row>
    <row r="31" ht="15.75" customHeight="1">
      <c r="A31" s="260"/>
      <c r="B31" s="275"/>
      <c r="C31" s="275"/>
      <c r="D31" s="284" t="str">
        <f>DPA!D48</f>
        <v>-</v>
      </c>
      <c r="E31" s="285" t="str">
        <f>DPA!E48</f>
        <v>Foto Copy
Spesifikasi : Foto copy Hitam Putih-HVS
A4/F4</v>
      </c>
      <c r="F31" s="281"/>
      <c r="G31" s="272"/>
      <c r="H31" s="282"/>
      <c r="I31" s="282"/>
      <c r="J31" s="282"/>
      <c r="K31" s="276">
        <f>DPA!S48</f>
        <v>544000</v>
      </c>
      <c r="L31" s="277"/>
      <c r="M31" s="277">
        <f t="shared" si="3"/>
        <v>544000</v>
      </c>
      <c r="N31" s="278"/>
      <c r="O31" s="278"/>
      <c r="P31" s="278"/>
      <c r="Q31" s="278"/>
      <c r="R31" s="277"/>
      <c r="S31" s="278"/>
      <c r="T31" s="277"/>
      <c r="U31" s="260"/>
      <c r="V31" s="8"/>
      <c r="W31" s="8"/>
      <c r="X31" s="8"/>
      <c r="Y31" s="8"/>
      <c r="Z31" s="8"/>
    </row>
    <row r="32" ht="15.75" customHeight="1">
      <c r="A32" s="260"/>
      <c r="B32" s="275"/>
      <c r="C32" s="275"/>
      <c r="D32" s="275"/>
      <c r="E32" s="275"/>
      <c r="F32" s="281"/>
      <c r="G32" s="272"/>
      <c r="H32" s="282"/>
      <c r="I32" s="282"/>
      <c r="J32" s="282"/>
      <c r="K32" s="276"/>
      <c r="L32" s="281"/>
      <c r="M32" s="277"/>
      <c r="N32" s="283"/>
      <c r="O32" s="283"/>
      <c r="P32" s="283"/>
      <c r="Q32" s="283"/>
      <c r="R32" s="281"/>
      <c r="S32" s="283"/>
      <c r="T32" s="277"/>
      <c r="U32" s="260"/>
      <c r="V32" s="8"/>
      <c r="W32" s="8"/>
      <c r="X32" s="8"/>
      <c r="Y32" s="8"/>
      <c r="Z32" s="8"/>
    </row>
    <row r="33" ht="15.75" customHeight="1">
      <c r="A33" s="260"/>
      <c r="B33" s="275" t="str">
        <f>DPA!B50</f>
        <v>5.1.02.01.01.0027</v>
      </c>
      <c r="C33" s="275" t="str">
        <f>DPA!C50</f>
        <v>Belanja Alat/Bahan untuk Kegiatan Kantor-Benda Pos</v>
      </c>
      <c r="D33" s="275"/>
      <c r="E33" s="275"/>
      <c r="F33" s="281"/>
      <c r="G33" s="272"/>
      <c r="H33" s="282"/>
      <c r="I33" s="282"/>
      <c r="J33" s="282"/>
      <c r="K33" s="276">
        <f>DPA!S50</f>
        <v>150000</v>
      </c>
      <c r="L33" s="281"/>
      <c r="M33" s="277">
        <f t="shared" ref="M33:M34" si="4">K33</f>
        <v>150000</v>
      </c>
      <c r="N33" s="283"/>
      <c r="O33" s="283"/>
      <c r="P33" s="283"/>
      <c r="Q33" s="283"/>
      <c r="R33" s="281"/>
      <c r="S33" s="283"/>
      <c r="T33" s="277"/>
      <c r="U33" s="260"/>
      <c r="V33" s="8"/>
      <c r="W33" s="8"/>
      <c r="X33" s="8"/>
      <c r="Y33" s="8"/>
      <c r="Z33" s="8"/>
    </row>
    <row r="34" ht="15.75" customHeight="1">
      <c r="A34" s="260"/>
      <c r="B34" s="275"/>
      <c r="C34" s="275"/>
      <c r="D34" s="284" t="str">
        <f>DPA!D51</f>
        <v>-</v>
      </c>
      <c r="E34" s="284" t="str">
        <f>DPA!E51</f>
        <v>Materai
Spesifikasi: Materai 10.000</v>
      </c>
      <c r="F34" s="281"/>
      <c r="G34" s="272"/>
      <c r="H34" s="282"/>
      <c r="I34" s="282"/>
      <c r="J34" s="282"/>
      <c r="K34" s="276">
        <f>DPA!S51</f>
        <v>150000</v>
      </c>
      <c r="L34" s="281"/>
      <c r="M34" s="277">
        <f t="shared" si="4"/>
        <v>150000</v>
      </c>
      <c r="N34" s="283"/>
      <c r="O34" s="283"/>
      <c r="P34" s="283"/>
      <c r="Q34" s="283"/>
      <c r="R34" s="281"/>
      <c r="S34" s="283"/>
      <c r="T34" s="277"/>
      <c r="U34" s="260"/>
      <c r="V34" s="8"/>
      <c r="W34" s="8"/>
      <c r="X34" s="8"/>
      <c r="Y34" s="8"/>
      <c r="Z34" s="8"/>
    </row>
    <row r="35" ht="15.75" customHeight="1">
      <c r="A35" s="274"/>
      <c r="B35" s="275"/>
      <c r="C35" s="275"/>
      <c r="D35" s="275"/>
      <c r="E35" s="275"/>
      <c r="F35" s="277"/>
      <c r="G35" s="271"/>
      <c r="H35" s="280"/>
      <c r="I35" s="280"/>
      <c r="J35" s="280"/>
      <c r="K35" s="276"/>
      <c r="L35" s="277"/>
      <c r="M35" s="277"/>
      <c r="N35" s="278"/>
      <c r="O35" s="278"/>
      <c r="P35" s="278"/>
      <c r="Q35" s="278"/>
      <c r="R35" s="277"/>
      <c r="S35" s="278"/>
      <c r="T35" s="277"/>
      <c r="U35" s="274"/>
      <c r="V35" s="72"/>
      <c r="W35" s="72"/>
      <c r="X35" s="72"/>
      <c r="Y35" s="72"/>
      <c r="Z35" s="72"/>
    </row>
    <row r="36" ht="15.75" customHeight="1">
      <c r="A36" s="260"/>
      <c r="B36" s="275" t="str">
        <f>DPA!B53</f>
        <v>5.1.02.04</v>
      </c>
      <c r="C36" s="275" t="str">
        <f>DPA!C53</f>
        <v>Belanja Perjalanan Dinas</v>
      </c>
      <c r="D36" s="275"/>
      <c r="E36" s="275"/>
      <c r="F36" s="281"/>
      <c r="G36" s="272"/>
      <c r="H36" s="282"/>
      <c r="I36" s="282"/>
      <c r="J36" s="282"/>
      <c r="K36" s="276">
        <f>DPA!S53</f>
        <v>31208000</v>
      </c>
      <c r="L36" s="277"/>
      <c r="M36" s="277">
        <f t="shared" ref="M36:M43" si="5">K36</f>
        <v>31208000</v>
      </c>
      <c r="N36" s="278"/>
      <c r="O36" s="278"/>
      <c r="P36" s="278"/>
      <c r="Q36" s="278"/>
      <c r="R36" s="277"/>
      <c r="S36" s="278"/>
      <c r="T36" s="277"/>
      <c r="U36" s="260"/>
      <c r="V36" s="8"/>
      <c r="W36" s="8"/>
      <c r="X36" s="8"/>
      <c r="Y36" s="8"/>
      <c r="Z36" s="8"/>
    </row>
    <row r="37" ht="15.75" hidden="1" customHeight="1">
      <c r="A37" s="260"/>
      <c r="B37" s="275" t="str">
        <f>DPA!B54</f>
        <v>5.1.02.04.01</v>
      </c>
      <c r="C37" s="275" t="str">
        <f>DPA!C54</f>
        <v>Belanja Perjalanan Dinas Dalam Negeri</v>
      </c>
      <c r="D37" s="275" t="str">
        <f>DPA!D54</f>
        <v/>
      </c>
      <c r="E37" s="275" t="str">
        <f>DPA!E54</f>
        <v/>
      </c>
      <c r="F37" s="281"/>
      <c r="G37" s="272"/>
      <c r="H37" s="282"/>
      <c r="I37" s="282"/>
      <c r="J37" s="282"/>
      <c r="K37" s="276">
        <f>DPA!S54</f>
        <v>31208000</v>
      </c>
      <c r="L37" s="281"/>
      <c r="M37" s="277">
        <f t="shared" si="5"/>
        <v>31208000</v>
      </c>
      <c r="N37" s="283"/>
      <c r="O37" s="283"/>
      <c r="P37" s="283"/>
      <c r="Q37" s="283"/>
      <c r="R37" s="281"/>
      <c r="S37" s="283"/>
      <c r="T37" s="277"/>
      <c r="U37" s="260"/>
      <c r="V37" s="8"/>
      <c r="W37" s="8"/>
      <c r="X37" s="8"/>
      <c r="Y37" s="8"/>
      <c r="Z37" s="8"/>
    </row>
    <row r="38" ht="15.75" hidden="1" customHeight="1">
      <c r="A38" s="260"/>
      <c r="B38" s="275" t="str">
        <f>DPA!B55</f>
        <v>5.1.02.04.01.0001</v>
      </c>
      <c r="C38" s="275" t="str">
        <f>DPA!C55</f>
        <v>Belanja Perjalanan Dinas Biasa</v>
      </c>
      <c r="D38" s="275" t="str">
        <f>DPA!D55</f>
        <v/>
      </c>
      <c r="E38" s="275" t="str">
        <f>DPA!E55</f>
        <v/>
      </c>
      <c r="F38" s="281"/>
      <c r="G38" s="272"/>
      <c r="H38" s="282"/>
      <c r="I38" s="282"/>
      <c r="J38" s="282"/>
      <c r="K38" s="276">
        <f>DPA!S55</f>
        <v>31208000</v>
      </c>
      <c r="L38" s="281"/>
      <c r="M38" s="277">
        <f t="shared" si="5"/>
        <v>31208000</v>
      </c>
      <c r="N38" s="283"/>
      <c r="O38" s="283"/>
      <c r="P38" s="283"/>
      <c r="Q38" s="283"/>
      <c r="R38" s="281"/>
      <c r="S38" s="283"/>
      <c r="T38" s="277"/>
      <c r="U38" s="260"/>
      <c r="V38" s="8"/>
      <c r="W38" s="8"/>
      <c r="X38" s="8"/>
      <c r="Y38" s="8"/>
      <c r="Z38" s="8"/>
    </row>
    <row r="39" ht="15.75" customHeight="1">
      <c r="A39" s="260"/>
      <c r="B39" s="275"/>
      <c r="C39" s="275"/>
      <c r="D39" s="284" t="str">
        <f>DPA!D56</f>
        <v>-</v>
      </c>
      <c r="E39" s="285" t="str">
        <f>DPA!E56</f>
        <v>Penginapan Dalam Negeri di- D.K.I. JAKARTA
Spesifikasi: PEJABAT ESELON III / GOLONGAN IV</v>
      </c>
      <c r="F39" s="281"/>
      <c r="G39" s="272"/>
      <c r="H39" s="282"/>
      <c r="I39" s="282"/>
      <c r="J39" s="282"/>
      <c r="K39" s="276">
        <f>DPA!S56</f>
        <v>7936000</v>
      </c>
      <c r="L39" s="281"/>
      <c r="M39" s="277">
        <f t="shared" si="5"/>
        <v>7936000</v>
      </c>
      <c r="N39" s="283"/>
      <c r="O39" s="283"/>
      <c r="P39" s="283"/>
      <c r="Q39" s="283"/>
      <c r="R39" s="281"/>
      <c r="S39" s="283"/>
      <c r="T39" s="277"/>
      <c r="U39" s="260"/>
      <c r="V39" s="8"/>
      <c r="W39" s="8"/>
      <c r="X39" s="8"/>
      <c r="Y39" s="8"/>
      <c r="Z39" s="8"/>
    </row>
    <row r="40" ht="15.75" customHeight="1">
      <c r="A40" s="274"/>
      <c r="B40" s="275"/>
      <c r="C40" s="275"/>
      <c r="D40" s="284" t="str">
        <f>DPA!D57</f>
        <v>-</v>
      </c>
      <c r="E40" s="285" t="str">
        <f>DPA!E57</f>
        <v>Taxi dari/ke Bandara - Perjalanan Dinas Dalam Negeri
Spesifikasi: BALI</v>
      </c>
      <c r="F40" s="277"/>
      <c r="G40" s="271"/>
      <c r="H40" s="280"/>
      <c r="I40" s="280"/>
      <c r="J40" s="280"/>
      <c r="K40" s="276">
        <f>DPA!S57</f>
        <v>1816000</v>
      </c>
      <c r="L40" s="277"/>
      <c r="M40" s="277">
        <f t="shared" si="5"/>
        <v>1816000</v>
      </c>
      <c r="N40" s="278"/>
      <c r="O40" s="278"/>
      <c r="P40" s="278"/>
      <c r="Q40" s="278"/>
      <c r="R40" s="277"/>
      <c r="S40" s="278"/>
      <c r="T40" s="277"/>
      <c r="U40" s="274"/>
      <c r="V40" s="72"/>
      <c r="W40" s="72"/>
      <c r="X40" s="72"/>
      <c r="Y40" s="72"/>
      <c r="Z40" s="72"/>
    </row>
    <row r="41" ht="15.75" customHeight="1">
      <c r="A41" s="260"/>
      <c r="B41" s="275"/>
      <c r="C41" s="275"/>
      <c r="D41" s="284" t="str">
        <f>DPA!D58</f>
        <v>-</v>
      </c>
      <c r="E41" s="285" t="str">
        <f>DPA!E58</f>
        <v>Taxi dari/ke Bandara - Perjalanan Dinas Dalam Negeri
Spesifikasi: D.K.I. JAKARTA</v>
      </c>
      <c r="F41" s="281"/>
      <c r="G41" s="272"/>
      <c r="H41" s="282"/>
      <c r="I41" s="282"/>
      <c r="J41" s="282"/>
      <c r="K41" s="276">
        <f>DPA!S58</f>
        <v>2048000</v>
      </c>
      <c r="L41" s="277"/>
      <c r="M41" s="277">
        <f t="shared" si="5"/>
        <v>2048000</v>
      </c>
      <c r="N41" s="278"/>
      <c r="O41" s="278"/>
      <c r="P41" s="278"/>
      <c r="Q41" s="278"/>
      <c r="R41" s="277"/>
      <c r="S41" s="278"/>
      <c r="T41" s="277"/>
      <c r="U41" s="260"/>
      <c r="V41" s="8"/>
      <c r="W41" s="8"/>
      <c r="X41" s="8"/>
      <c r="Y41" s="8"/>
      <c r="Z41" s="8"/>
    </row>
    <row r="42" ht="15.75" hidden="1" customHeight="1">
      <c r="A42" s="260"/>
      <c r="B42" s="275"/>
      <c r="C42" s="275"/>
      <c r="D42" s="284" t="str">
        <f>DPA!D59</f>
        <v>-</v>
      </c>
      <c r="E42" s="285" t="str">
        <f>DPA!E59</f>
        <v>Satuan Biaya Tiket Dalam Negeri
Spesifikasi : Denpasar - Jakarta</v>
      </c>
      <c r="F42" s="281"/>
      <c r="G42" s="272"/>
      <c r="H42" s="282"/>
      <c r="I42" s="282"/>
      <c r="J42" s="282"/>
      <c r="K42" s="276">
        <f>DPA!S59</f>
        <v>13048000</v>
      </c>
      <c r="L42" s="281"/>
      <c r="M42" s="277">
        <f t="shared" si="5"/>
        <v>13048000</v>
      </c>
      <c r="N42" s="283"/>
      <c r="O42" s="283"/>
      <c r="P42" s="283"/>
      <c r="Q42" s="283"/>
      <c r="R42" s="281"/>
      <c r="S42" s="283"/>
      <c r="T42" s="277"/>
      <c r="U42" s="260"/>
      <c r="V42" s="8"/>
      <c r="W42" s="8"/>
      <c r="X42" s="8"/>
      <c r="Y42" s="8"/>
      <c r="Z42" s="8"/>
    </row>
    <row r="43" ht="15.75" customHeight="1">
      <c r="A43" s="260"/>
      <c r="B43" s="275"/>
      <c r="C43" s="275"/>
      <c r="D43" s="284" t="str">
        <f>DPA!D60</f>
        <v>-</v>
      </c>
      <c r="E43" s="285" t="str">
        <f>DPA!E60</f>
        <v>Uang Harian Perjalanan Dinas Luar Kota/Luar Daerah
Spesifikasi: D.K.I. JAKARTA</v>
      </c>
      <c r="F43" s="281"/>
      <c r="G43" s="272"/>
      <c r="H43" s="282"/>
      <c r="I43" s="282"/>
      <c r="J43" s="282"/>
      <c r="K43" s="276">
        <f>DPA!S60</f>
        <v>6360000</v>
      </c>
      <c r="L43" s="281"/>
      <c r="M43" s="277">
        <f t="shared" si="5"/>
        <v>6360000</v>
      </c>
      <c r="N43" s="283"/>
      <c r="O43" s="283"/>
      <c r="P43" s="283"/>
      <c r="Q43" s="283"/>
      <c r="R43" s="281"/>
      <c r="S43" s="283"/>
      <c r="T43" s="277"/>
      <c r="U43" s="260"/>
      <c r="V43" s="8"/>
      <c r="W43" s="8"/>
      <c r="X43" s="8"/>
      <c r="Y43" s="8"/>
      <c r="Z43" s="8"/>
    </row>
    <row r="44" ht="15.75" customHeight="1">
      <c r="A44" s="260"/>
      <c r="B44" s="275"/>
      <c r="C44" s="275"/>
      <c r="D44" s="275"/>
      <c r="E44" s="275"/>
      <c r="F44" s="281"/>
      <c r="G44" s="272"/>
      <c r="H44" s="282"/>
      <c r="I44" s="282"/>
      <c r="J44" s="282"/>
      <c r="K44" s="276"/>
      <c r="L44" s="277"/>
      <c r="M44" s="277"/>
      <c r="N44" s="278"/>
      <c r="O44" s="278"/>
      <c r="P44" s="278"/>
      <c r="Q44" s="278"/>
      <c r="R44" s="277"/>
      <c r="S44" s="278"/>
      <c r="T44" s="277"/>
      <c r="U44" s="260"/>
      <c r="V44" s="8"/>
      <c r="W44" s="8"/>
      <c r="X44" s="8"/>
      <c r="Y44" s="8"/>
      <c r="Z44" s="8"/>
    </row>
    <row r="45" ht="15.75" hidden="1" customHeight="1">
      <c r="A45" s="260"/>
      <c r="B45" s="275" t="str">
        <f>DPA!B62</f>
        <v>5.2 </v>
      </c>
      <c r="C45" s="275" t="str">
        <f>DPA!C62</f>
        <v>Belanja Modal</v>
      </c>
      <c r="D45" s="275"/>
      <c r="E45" s="275"/>
      <c r="F45" s="281"/>
      <c r="G45" s="272"/>
      <c r="H45" s="282"/>
      <c r="I45" s="282"/>
      <c r="J45" s="282"/>
      <c r="K45" s="276">
        <f>DPA!S62</f>
        <v>61372400</v>
      </c>
      <c r="L45" s="281"/>
      <c r="M45" s="277">
        <f t="shared" ref="M45:M54" si="6">K45</f>
        <v>61372400</v>
      </c>
      <c r="N45" s="283"/>
      <c r="O45" s="283"/>
      <c r="P45" s="283"/>
      <c r="Q45" s="283"/>
      <c r="R45" s="281"/>
      <c r="S45" s="283"/>
      <c r="T45" s="277"/>
      <c r="U45" s="260"/>
      <c r="V45" s="8"/>
      <c r="W45" s="8"/>
      <c r="X45" s="8"/>
      <c r="Y45" s="8"/>
      <c r="Z45" s="8"/>
    </row>
    <row r="46" ht="15.75" hidden="1" customHeight="1">
      <c r="A46" s="260"/>
      <c r="B46" s="275" t="str">
        <f>DPA!B63</f>
        <v>5.2.02</v>
      </c>
      <c r="C46" s="275" t="str">
        <f>DPA!C63</f>
        <v>Belanja Modal Perapatan dan Mesin</v>
      </c>
      <c r="D46" s="275"/>
      <c r="E46" s="275"/>
      <c r="F46" s="281"/>
      <c r="G46" s="272"/>
      <c r="H46" s="282"/>
      <c r="I46" s="282"/>
      <c r="J46" s="282"/>
      <c r="K46" s="276">
        <f>DPA!S63</f>
        <v>61372400</v>
      </c>
      <c r="L46" s="281"/>
      <c r="M46" s="277">
        <f t="shared" si="6"/>
        <v>61372400</v>
      </c>
      <c r="N46" s="283"/>
      <c r="O46" s="283"/>
      <c r="P46" s="283"/>
      <c r="Q46" s="283"/>
      <c r="R46" s="281"/>
      <c r="S46" s="283"/>
      <c r="T46" s="277"/>
      <c r="U46" s="260"/>
      <c r="V46" s="8"/>
      <c r="W46" s="8"/>
      <c r="X46" s="8"/>
      <c r="Y46" s="8"/>
      <c r="Z46" s="8"/>
    </row>
    <row r="47" ht="15.75" hidden="1" customHeight="1">
      <c r="A47" s="260"/>
      <c r="B47" s="275" t="str">
        <f>DPA!B64</f>
        <v>5.2.02.05</v>
      </c>
      <c r="C47" s="275" t="str">
        <f>DPA!C64</f>
        <v>Belanja Modal Alat Kantor dan Rumah Tangga</v>
      </c>
      <c r="D47" s="275"/>
      <c r="E47" s="275"/>
      <c r="F47" s="281"/>
      <c r="G47" s="272"/>
      <c r="H47" s="282"/>
      <c r="I47" s="282"/>
      <c r="J47" s="282"/>
      <c r="K47" s="276">
        <f>DPA!S64</f>
        <v>61372400</v>
      </c>
      <c r="L47" s="281"/>
      <c r="M47" s="277">
        <f t="shared" si="6"/>
        <v>61372400</v>
      </c>
      <c r="N47" s="283"/>
      <c r="O47" s="283"/>
      <c r="P47" s="283"/>
      <c r="Q47" s="283"/>
      <c r="R47" s="281"/>
      <c r="S47" s="283"/>
      <c r="T47" s="277"/>
      <c r="U47" s="260"/>
      <c r="V47" s="8"/>
      <c r="W47" s="8"/>
      <c r="X47" s="8"/>
      <c r="Y47" s="8"/>
      <c r="Z47" s="8"/>
    </row>
    <row r="48" ht="15.75" hidden="1" customHeight="1">
      <c r="A48" s="260"/>
      <c r="B48" s="275" t="str">
        <f>DPA!B65</f>
        <v>5.2.02.05.001</v>
      </c>
      <c r="C48" s="275" t="str">
        <f>DPA!C65</f>
        <v>Belanja Modal Alat Kantor</v>
      </c>
      <c r="D48" s="275"/>
      <c r="E48" s="275"/>
      <c r="F48" s="281"/>
      <c r="G48" s="272"/>
      <c r="H48" s="282"/>
      <c r="I48" s="282"/>
      <c r="J48" s="282"/>
      <c r="K48" s="276">
        <f>DPA!S65</f>
        <v>34347600</v>
      </c>
      <c r="L48" s="281"/>
      <c r="M48" s="277">
        <f t="shared" si="6"/>
        <v>34347600</v>
      </c>
      <c r="N48" s="283"/>
      <c r="O48" s="283"/>
      <c r="P48" s="283"/>
      <c r="Q48" s="283"/>
      <c r="R48" s="281"/>
      <c r="S48" s="283"/>
      <c r="T48" s="277"/>
      <c r="U48" s="260"/>
      <c r="V48" s="8"/>
      <c r="W48" s="8"/>
      <c r="X48" s="8"/>
      <c r="Y48" s="8"/>
      <c r="Z48" s="8"/>
    </row>
    <row r="49" ht="15.75" hidden="1" customHeight="1">
      <c r="A49" s="260"/>
      <c r="B49" s="275" t="str">
        <f>DPA!B66</f>
        <v>5.2.02.05.001.00005</v>
      </c>
      <c r="C49" s="275" t="str">
        <f>DPA!C66</f>
        <v>Belanja Modal Alat Kantor Lainnya</v>
      </c>
      <c r="D49" s="275"/>
      <c r="E49" s="275"/>
      <c r="F49" s="281"/>
      <c r="G49" s="272"/>
      <c r="H49" s="282"/>
      <c r="I49" s="282"/>
      <c r="J49" s="282"/>
      <c r="K49" s="276">
        <f>DPA!S66</f>
        <v>34347600</v>
      </c>
      <c r="L49" s="281"/>
      <c r="M49" s="277">
        <f t="shared" si="6"/>
        <v>34347600</v>
      </c>
      <c r="N49" s="283"/>
      <c r="O49" s="283"/>
      <c r="P49" s="283"/>
      <c r="Q49" s="283"/>
      <c r="R49" s="281"/>
      <c r="S49" s="283"/>
      <c r="T49" s="277"/>
      <c r="U49" s="260"/>
      <c r="V49" s="8"/>
      <c r="W49" s="8"/>
      <c r="X49" s="8"/>
      <c r="Y49" s="8"/>
      <c r="Z49" s="8"/>
    </row>
    <row r="50" ht="15.75" hidden="1" customHeight="1">
      <c r="A50" s="260"/>
      <c r="B50" s="275" t="str">
        <f>DPA!B67</f>
        <v/>
      </c>
      <c r="C50" s="275" t="str">
        <f>DPA!C67</f>
        <v/>
      </c>
      <c r="D50" s="275"/>
      <c r="E50" s="275"/>
      <c r="F50" s="281"/>
      <c r="G50" s="272"/>
      <c r="H50" s="282"/>
      <c r="I50" s="282"/>
      <c r="J50" s="282"/>
      <c r="K50" s="276">
        <f>DPA!S67</f>
        <v>34347600</v>
      </c>
      <c r="L50" s="281"/>
      <c r="M50" s="277">
        <f t="shared" si="6"/>
        <v>34347600</v>
      </c>
      <c r="N50" s="283"/>
      <c r="O50" s="283"/>
      <c r="P50" s="283"/>
      <c r="Q50" s="283"/>
      <c r="R50" s="281"/>
      <c r="S50" s="283"/>
      <c r="T50" s="277"/>
      <c r="U50" s="260"/>
      <c r="V50" s="8"/>
      <c r="W50" s="8"/>
      <c r="X50" s="8"/>
      <c r="Y50" s="8"/>
      <c r="Z50" s="8"/>
    </row>
    <row r="51" ht="15.75" hidden="1" customHeight="1">
      <c r="A51" s="260"/>
      <c r="B51" s="275" t="str">
        <f>DPA!B68</f>
        <v/>
      </c>
      <c r="C51" s="275" t="str">
        <f>DPA!C68</f>
        <v/>
      </c>
      <c r="D51" s="275"/>
      <c r="E51" s="275"/>
      <c r="F51" s="281"/>
      <c r="G51" s="272"/>
      <c r="H51" s="282"/>
      <c r="I51" s="282"/>
      <c r="J51" s="282"/>
      <c r="K51" s="276" t="str">
        <f>DPA!S68</f>
        <v/>
      </c>
      <c r="L51" s="281"/>
      <c r="M51" s="277" t="str">
        <f t="shared" si="6"/>
        <v/>
      </c>
      <c r="N51" s="283"/>
      <c r="O51" s="283"/>
      <c r="P51" s="283"/>
      <c r="Q51" s="283"/>
      <c r="R51" s="281"/>
      <c r="S51" s="283"/>
      <c r="T51" s="277"/>
      <c r="U51" s="260"/>
      <c r="V51" s="8"/>
      <c r="W51" s="8"/>
      <c r="X51" s="8"/>
      <c r="Y51" s="8"/>
      <c r="Z51" s="8"/>
    </row>
    <row r="52" ht="15.75" hidden="1" customHeight="1">
      <c r="A52" s="260"/>
      <c r="B52" s="275" t="str">
        <f>DPA!B69</f>
        <v>5.2.02.05.002</v>
      </c>
      <c r="C52" s="275" t="str">
        <f>DPA!C69</f>
        <v>Belanja Modal Alat Rumah Tangga</v>
      </c>
      <c r="D52" s="275"/>
      <c r="E52" s="275"/>
      <c r="F52" s="281"/>
      <c r="G52" s="272"/>
      <c r="H52" s="282"/>
      <c r="I52" s="282"/>
      <c r="J52" s="282"/>
      <c r="K52" s="276">
        <f>DPA!S69</f>
        <v>27024800</v>
      </c>
      <c r="L52" s="281"/>
      <c r="M52" s="277">
        <f t="shared" si="6"/>
        <v>27024800</v>
      </c>
      <c r="N52" s="283"/>
      <c r="O52" s="283"/>
      <c r="P52" s="283"/>
      <c r="Q52" s="283"/>
      <c r="R52" s="281"/>
      <c r="S52" s="283"/>
      <c r="T52" s="277"/>
      <c r="U52" s="260"/>
      <c r="V52" s="8"/>
      <c r="W52" s="8"/>
      <c r="X52" s="8"/>
      <c r="Y52" s="8"/>
      <c r="Z52" s="8"/>
    </row>
    <row r="53" ht="15.75" customHeight="1">
      <c r="A53" s="260"/>
      <c r="B53" s="275" t="str">
        <f>DPA!B70</f>
        <v>5.2.02.05.002.000
06</v>
      </c>
      <c r="C53" s="275" t="str">
        <f>DPA!C70</f>
        <v>Belanja Modal Alat Rumah Tangga Lainnya (Home Use)</v>
      </c>
      <c r="D53" s="275"/>
      <c r="E53" s="275"/>
      <c r="F53" s="281"/>
      <c r="G53" s="272"/>
      <c r="H53" s="282"/>
      <c r="I53" s="282"/>
      <c r="J53" s="282"/>
      <c r="K53" s="276">
        <f>DPA!S70</f>
        <v>27024800</v>
      </c>
      <c r="L53" s="281"/>
      <c r="M53" s="277">
        <f t="shared" si="6"/>
        <v>27024800</v>
      </c>
      <c r="N53" s="283"/>
      <c r="O53" s="283"/>
      <c r="P53" s="283"/>
      <c r="Q53" s="283"/>
      <c r="R53" s="281"/>
      <c r="S53" s="283"/>
      <c r="T53" s="277"/>
      <c r="U53" s="260"/>
      <c r="V53" s="8"/>
      <c r="W53" s="8"/>
      <c r="X53" s="8"/>
      <c r="Y53" s="8"/>
      <c r="Z53" s="8"/>
    </row>
    <row r="54" ht="15.75" customHeight="1">
      <c r="A54" s="260"/>
      <c r="B54" s="275"/>
      <c r="C54" s="275"/>
      <c r="D54" s="284" t="str">
        <f>DPA!D71</f>
        <v>-</v>
      </c>
      <c r="E54" s="285" t="str">
        <f>DPA!E71</f>
        <v>Televisi
Spesifikasi : Smart TV 70 Inch min. UHD 4K,
Garansi Min. 1 Tahun</v>
      </c>
      <c r="F54" s="281"/>
      <c r="G54" s="272"/>
      <c r="H54" s="282"/>
      <c r="I54" s="282"/>
      <c r="J54" s="282"/>
      <c r="K54" s="276">
        <f>DPA!S71</f>
        <v>27024800</v>
      </c>
      <c r="L54" s="277"/>
      <c r="M54" s="277">
        <f t="shared" si="6"/>
        <v>27024800</v>
      </c>
      <c r="N54" s="278"/>
      <c r="O54" s="278"/>
      <c r="P54" s="278"/>
      <c r="Q54" s="278"/>
      <c r="R54" s="277"/>
      <c r="S54" s="278"/>
      <c r="T54" s="277"/>
      <c r="U54" s="260"/>
      <c r="V54" s="8"/>
      <c r="W54" s="8"/>
      <c r="X54" s="8"/>
      <c r="Y54" s="8"/>
      <c r="Z54" s="8"/>
    </row>
    <row r="55" ht="15.75" customHeight="1">
      <c r="A55" s="260"/>
      <c r="B55" s="275"/>
      <c r="C55" s="275"/>
      <c r="D55" s="275"/>
      <c r="E55" s="275"/>
      <c r="F55" s="281"/>
      <c r="G55" s="272"/>
      <c r="H55" s="282"/>
      <c r="I55" s="282"/>
      <c r="J55" s="282"/>
      <c r="K55" s="276"/>
      <c r="L55" s="281"/>
      <c r="M55" s="277"/>
      <c r="N55" s="283"/>
      <c r="O55" s="283"/>
      <c r="P55" s="283"/>
      <c r="Q55" s="283"/>
      <c r="R55" s="281"/>
      <c r="S55" s="283"/>
      <c r="T55" s="277"/>
      <c r="U55" s="260"/>
      <c r="V55" s="8"/>
      <c r="W55" s="8"/>
      <c r="X55" s="8"/>
      <c r="Y55" s="8"/>
      <c r="Z55" s="8"/>
    </row>
    <row r="56" ht="8.25" customHeight="1">
      <c r="A56" s="260"/>
      <c r="B56" s="260"/>
      <c r="C56" s="260"/>
      <c r="D56" s="260"/>
      <c r="E56" s="8"/>
      <c r="F56" s="260"/>
      <c r="G56" s="260"/>
      <c r="H56" s="260"/>
      <c r="I56" s="260"/>
      <c r="J56" s="260"/>
      <c r="K56" s="270"/>
      <c r="L56" s="270"/>
      <c r="M56" s="270"/>
      <c r="N56" s="270"/>
      <c r="O56" s="260"/>
      <c r="P56" s="270"/>
      <c r="Q56" s="270"/>
      <c r="R56" s="270"/>
      <c r="S56" s="270"/>
      <c r="T56" s="270"/>
      <c r="U56" s="260"/>
      <c r="V56" s="8"/>
      <c r="W56" s="8"/>
      <c r="X56" s="8"/>
      <c r="Y56" s="8"/>
      <c r="Z56" s="8"/>
    </row>
    <row r="57" ht="15.75" customHeight="1">
      <c r="A57" s="260"/>
      <c r="B57" s="260"/>
      <c r="C57" s="260"/>
      <c r="D57" s="260"/>
      <c r="E57" s="8"/>
      <c r="F57" s="260"/>
      <c r="G57" s="260"/>
      <c r="H57" s="260"/>
      <c r="I57" s="260"/>
      <c r="J57" s="260"/>
      <c r="K57" s="270"/>
      <c r="L57" s="270"/>
      <c r="M57" s="270"/>
      <c r="N57" s="270"/>
      <c r="O57" s="260" t="s">
        <v>114</v>
      </c>
      <c r="P57" s="270"/>
      <c r="Q57" s="270"/>
      <c r="R57" s="270"/>
      <c r="S57" s="270"/>
      <c r="T57" s="270"/>
      <c r="U57" s="260"/>
      <c r="V57" s="8"/>
      <c r="W57" s="8"/>
      <c r="X57" s="8"/>
      <c r="Y57" s="8"/>
      <c r="Z57" s="8"/>
    </row>
    <row r="58" ht="6.75" customHeight="1">
      <c r="A58" s="260"/>
      <c r="B58" s="260"/>
      <c r="C58" s="260"/>
      <c r="D58" s="260"/>
      <c r="E58" s="8"/>
      <c r="F58" s="260"/>
      <c r="G58" s="260"/>
      <c r="H58" s="260"/>
      <c r="I58" s="260"/>
      <c r="J58" s="260"/>
      <c r="K58" s="270"/>
      <c r="L58" s="270"/>
      <c r="M58" s="270"/>
      <c r="N58" s="270"/>
      <c r="O58" s="260"/>
      <c r="P58" s="270"/>
      <c r="Q58" s="270"/>
      <c r="R58" s="270"/>
      <c r="S58" s="270"/>
      <c r="T58" s="270"/>
      <c r="U58" s="260"/>
      <c r="V58" s="8"/>
      <c r="W58" s="8"/>
      <c r="X58" s="8"/>
      <c r="Y58" s="8"/>
      <c r="Z58" s="8"/>
    </row>
    <row r="59" ht="15.75" customHeight="1">
      <c r="A59" s="260"/>
      <c r="B59" s="260"/>
      <c r="C59" s="260"/>
      <c r="D59" s="260"/>
      <c r="E59" s="260" t="s">
        <v>168</v>
      </c>
      <c r="F59" s="260"/>
      <c r="G59" s="260"/>
      <c r="H59" s="260"/>
      <c r="I59" s="260"/>
      <c r="J59" s="260"/>
      <c r="K59" s="270"/>
      <c r="L59" s="270"/>
      <c r="M59" s="270"/>
      <c r="N59" s="270"/>
      <c r="O59" s="260" t="s">
        <v>217</v>
      </c>
      <c r="P59" s="270"/>
      <c r="Q59" s="270"/>
      <c r="R59" s="270"/>
      <c r="S59" s="270"/>
      <c r="T59" s="270"/>
      <c r="U59" s="260"/>
      <c r="V59" s="8"/>
      <c r="W59" s="8"/>
      <c r="X59" s="8"/>
      <c r="Y59" s="8"/>
      <c r="Z59" s="8"/>
    </row>
    <row r="60" ht="15.75" customHeight="1">
      <c r="A60" s="260"/>
      <c r="B60" s="260"/>
      <c r="C60" s="260"/>
      <c r="D60" s="260"/>
      <c r="E60" s="256" t="s">
        <v>170</v>
      </c>
      <c r="F60" s="260"/>
      <c r="G60" s="260"/>
      <c r="H60" s="260"/>
      <c r="I60" s="260"/>
      <c r="J60" s="260"/>
      <c r="K60" s="270"/>
      <c r="L60" s="270"/>
      <c r="M60" s="270"/>
      <c r="N60" s="270"/>
      <c r="O60" s="260" t="str">
        <f>DPA!N9</f>
        <v/>
      </c>
      <c r="P60" s="270"/>
      <c r="Q60" s="270"/>
      <c r="R60" s="270"/>
      <c r="S60" s="270"/>
      <c r="T60" s="270"/>
      <c r="U60" s="260"/>
      <c r="V60" s="8"/>
      <c r="W60" s="8"/>
      <c r="X60" s="8"/>
      <c r="Y60" s="8"/>
      <c r="Z60" s="8"/>
    </row>
    <row r="61" ht="15.75" customHeight="1">
      <c r="A61" s="260"/>
      <c r="B61" s="260"/>
      <c r="C61" s="260"/>
      <c r="D61" s="260"/>
      <c r="E61" s="256" t="s">
        <v>171</v>
      </c>
      <c r="F61" s="260"/>
      <c r="G61" s="260"/>
      <c r="H61" s="260"/>
      <c r="I61" s="260"/>
      <c r="J61" s="260"/>
      <c r="K61" s="270"/>
      <c r="L61" s="270"/>
      <c r="M61" s="270"/>
      <c r="N61" s="270"/>
      <c r="O61" s="260"/>
      <c r="P61" s="270"/>
      <c r="Q61" s="270"/>
      <c r="R61" s="270"/>
      <c r="S61" s="270"/>
      <c r="T61" s="270"/>
      <c r="U61" s="260"/>
      <c r="V61" s="8"/>
      <c r="W61" s="8"/>
      <c r="X61" s="8"/>
      <c r="Y61" s="8"/>
      <c r="Z61" s="8"/>
    </row>
    <row r="62" ht="15.75" customHeight="1">
      <c r="A62" s="260"/>
      <c r="B62" s="260"/>
      <c r="C62" s="260"/>
      <c r="D62" s="260"/>
      <c r="E62" s="8"/>
      <c r="F62" s="260"/>
      <c r="G62" s="260"/>
      <c r="H62" s="260"/>
      <c r="I62" s="260"/>
      <c r="J62" s="260"/>
      <c r="K62" s="270"/>
      <c r="L62" s="270"/>
      <c r="M62" s="270"/>
      <c r="N62" s="270"/>
      <c r="O62" s="260"/>
      <c r="P62" s="270"/>
      <c r="Q62" s="270"/>
      <c r="R62" s="270"/>
      <c r="S62" s="270"/>
      <c r="T62" s="270"/>
      <c r="U62" s="260"/>
      <c r="V62" s="8"/>
      <c r="W62" s="8"/>
      <c r="X62" s="8"/>
      <c r="Y62" s="8"/>
      <c r="Z62" s="8"/>
    </row>
    <row r="63" ht="15.75" customHeight="1">
      <c r="A63" s="260"/>
      <c r="B63" s="260"/>
      <c r="C63" s="260"/>
      <c r="D63" s="260"/>
      <c r="E63" s="8"/>
      <c r="F63" s="260"/>
      <c r="G63" s="260"/>
      <c r="H63" s="260"/>
      <c r="I63" s="260"/>
      <c r="J63" s="260"/>
      <c r="K63" s="270"/>
      <c r="L63" s="270"/>
      <c r="M63" s="270"/>
      <c r="N63" s="270"/>
      <c r="O63" s="260"/>
      <c r="P63" s="270"/>
      <c r="Q63" s="270"/>
      <c r="R63" s="270"/>
      <c r="S63" s="270"/>
      <c r="T63" s="270"/>
      <c r="U63" s="260"/>
      <c r="V63" s="8"/>
      <c r="W63" s="8"/>
      <c r="X63" s="8"/>
      <c r="Y63" s="8"/>
      <c r="Z63" s="8"/>
    </row>
    <row r="64" ht="15.75" customHeight="1">
      <c r="A64" s="260"/>
      <c r="B64" s="260"/>
      <c r="C64" s="260"/>
      <c r="D64" s="260"/>
      <c r="E64" s="8"/>
      <c r="F64" s="260"/>
      <c r="G64" s="260"/>
      <c r="H64" s="260"/>
      <c r="I64" s="260"/>
      <c r="J64" s="260"/>
      <c r="K64" s="270"/>
      <c r="L64" s="270"/>
      <c r="M64" s="270"/>
      <c r="N64" s="270"/>
      <c r="O64" s="260"/>
      <c r="P64" s="270"/>
      <c r="Q64" s="270"/>
      <c r="R64" s="270"/>
      <c r="S64" s="270"/>
      <c r="T64" s="270"/>
      <c r="U64" s="260"/>
      <c r="V64" s="8"/>
      <c r="W64" s="8"/>
      <c r="X64" s="8"/>
      <c r="Y64" s="8"/>
      <c r="Z64" s="8"/>
    </row>
    <row r="65" ht="15.75" customHeight="1">
      <c r="A65" s="260"/>
      <c r="B65" s="260"/>
      <c r="C65" s="260"/>
      <c r="D65" s="260"/>
      <c r="E65" s="258" t="s">
        <v>123</v>
      </c>
      <c r="F65" s="260"/>
      <c r="G65" s="260"/>
      <c r="H65" s="260"/>
      <c r="I65" s="260"/>
      <c r="J65" s="260"/>
      <c r="K65" s="270"/>
      <c r="L65" s="270"/>
      <c r="M65" s="270"/>
      <c r="N65" s="270"/>
      <c r="O65" s="286"/>
      <c r="P65" s="270"/>
      <c r="Q65" s="270"/>
      <c r="R65" s="270"/>
      <c r="S65" s="270"/>
      <c r="T65" s="270"/>
      <c r="U65" s="260"/>
      <c r="V65" s="8"/>
      <c r="W65" s="8"/>
      <c r="X65" s="8"/>
      <c r="Y65" s="8"/>
      <c r="Z65" s="8"/>
    </row>
    <row r="66" ht="15.75" customHeight="1">
      <c r="A66" s="260"/>
      <c r="B66" s="260"/>
      <c r="C66" s="260"/>
      <c r="D66" s="260"/>
      <c r="E66" s="256" t="s">
        <v>218</v>
      </c>
      <c r="F66" s="8"/>
      <c r="G66" s="260"/>
      <c r="H66" s="260"/>
      <c r="I66" s="260"/>
      <c r="J66" s="260"/>
      <c r="K66" s="270"/>
      <c r="L66" s="270"/>
      <c r="M66" s="270"/>
      <c r="N66" s="270"/>
      <c r="O66" s="260"/>
      <c r="P66" s="270"/>
      <c r="Q66" s="270"/>
      <c r="R66" s="270"/>
      <c r="S66" s="270"/>
      <c r="T66" s="270"/>
      <c r="U66" s="260"/>
      <c r="V66" s="8"/>
      <c r="W66" s="8"/>
      <c r="X66" s="8"/>
      <c r="Y66" s="8"/>
      <c r="Z66" s="8"/>
    </row>
    <row r="67" ht="15.75" customHeight="1">
      <c r="A67" s="260"/>
      <c r="B67" s="260"/>
      <c r="C67" s="260"/>
      <c r="D67" s="260"/>
      <c r="E67" s="256" t="s">
        <v>125</v>
      </c>
      <c r="F67" s="260"/>
      <c r="G67" s="260"/>
      <c r="H67" s="260"/>
      <c r="I67" s="260"/>
      <c r="J67" s="260"/>
      <c r="K67" s="270"/>
      <c r="L67" s="270"/>
      <c r="M67" s="270"/>
      <c r="N67" s="270"/>
      <c r="O67" s="260"/>
      <c r="P67" s="270"/>
      <c r="Q67" s="270"/>
      <c r="R67" s="270"/>
      <c r="S67" s="270"/>
      <c r="T67" s="270"/>
      <c r="U67" s="260"/>
      <c r="V67" s="8"/>
      <c r="W67" s="8"/>
      <c r="X67" s="8"/>
      <c r="Y67" s="8"/>
      <c r="Z67" s="8"/>
    </row>
    <row r="68" ht="15.75" customHeight="1">
      <c r="A68" s="260"/>
      <c r="B68" s="260"/>
      <c r="C68" s="260"/>
      <c r="D68" s="260"/>
      <c r="E68" s="260"/>
      <c r="F68" s="260"/>
      <c r="G68" s="260"/>
      <c r="H68" s="260"/>
      <c r="I68" s="260"/>
      <c r="J68" s="26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60"/>
      <c r="V68" s="8"/>
      <c r="W68" s="8"/>
      <c r="X68" s="8"/>
      <c r="Y68" s="8"/>
      <c r="Z68" s="8"/>
    </row>
    <row r="69" ht="15.75" customHeight="1">
      <c r="A69" s="260"/>
      <c r="B69" s="260"/>
      <c r="C69" s="260"/>
      <c r="D69" s="260"/>
      <c r="E69" s="260"/>
      <c r="F69" s="260"/>
      <c r="G69" s="260"/>
      <c r="H69" s="260"/>
      <c r="I69" s="260"/>
      <c r="J69" s="26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60"/>
      <c r="V69" s="8"/>
      <c r="W69" s="8"/>
      <c r="X69" s="8"/>
      <c r="Y69" s="8"/>
      <c r="Z69" s="8"/>
    </row>
    <row r="70" ht="15.7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8"/>
      <c r="W70" s="8"/>
      <c r="X70" s="8"/>
      <c r="Y70" s="8"/>
      <c r="Z70" s="8"/>
    </row>
    <row r="71" ht="15.7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8"/>
      <c r="W71" s="8"/>
      <c r="X71" s="8"/>
      <c r="Y71" s="8"/>
      <c r="Z71" s="8"/>
    </row>
    <row r="72" ht="15.7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8"/>
      <c r="W72" s="8"/>
      <c r="X72" s="8"/>
      <c r="Y72" s="8"/>
      <c r="Z72" s="8"/>
    </row>
    <row r="73" ht="15.7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8"/>
      <c r="W73" s="8"/>
      <c r="X73" s="8"/>
      <c r="Y73" s="8"/>
      <c r="Z73" s="8"/>
    </row>
    <row r="74" ht="15.7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8"/>
      <c r="W74" s="8"/>
      <c r="X74" s="8"/>
      <c r="Y74" s="8"/>
      <c r="Z74" s="8"/>
    </row>
    <row r="75" ht="15.7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8"/>
      <c r="W75" s="8"/>
      <c r="X75" s="8"/>
      <c r="Y75" s="8"/>
      <c r="Z75" s="8"/>
    </row>
    <row r="76" ht="15.7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70"/>
      <c r="N76" s="260"/>
      <c r="O76" s="260"/>
      <c r="P76" s="260"/>
      <c r="Q76" s="260"/>
      <c r="R76" s="260"/>
      <c r="S76" s="260"/>
      <c r="T76" s="260"/>
      <c r="U76" s="260"/>
      <c r="V76" s="8"/>
      <c r="W76" s="8"/>
      <c r="X76" s="8"/>
      <c r="Y76" s="8"/>
      <c r="Z76" s="8"/>
    </row>
    <row r="77" ht="15.7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8"/>
      <c r="W77" s="8"/>
      <c r="X77" s="8"/>
      <c r="Y77" s="8"/>
      <c r="Z77" s="8"/>
    </row>
    <row r="78" ht="15.7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8"/>
      <c r="W78" s="8"/>
      <c r="X78" s="8"/>
      <c r="Y78" s="8"/>
      <c r="Z78" s="8"/>
    </row>
    <row r="79" ht="15.7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8"/>
      <c r="W79" s="8"/>
      <c r="X79" s="8"/>
      <c r="Y79" s="8"/>
      <c r="Z79" s="8"/>
    </row>
    <row r="80" ht="15.7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8"/>
      <c r="W80" s="8"/>
      <c r="X80" s="8"/>
      <c r="Y80" s="8"/>
      <c r="Z80" s="8"/>
    </row>
    <row r="81" ht="15.7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70"/>
      <c r="M81" s="260"/>
      <c r="N81" s="260"/>
      <c r="O81" s="260"/>
      <c r="P81" s="260"/>
      <c r="Q81" s="260"/>
      <c r="R81" s="260"/>
      <c r="S81" s="260"/>
      <c r="T81" s="260"/>
      <c r="U81" s="260"/>
      <c r="V81" s="8"/>
      <c r="W81" s="8"/>
      <c r="X81" s="8"/>
      <c r="Y81" s="8"/>
      <c r="Z81" s="8"/>
    </row>
    <row r="82" ht="15.7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70"/>
      <c r="O82" s="260"/>
      <c r="P82" s="260"/>
      <c r="Q82" s="260"/>
      <c r="R82" s="260"/>
      <c r="S82" s="260"/>
      <c r="T82" s="260"/>
      <c r="U82" s="260"/>
      <c r="V82" s="8"/>
      <c r="W82" s="8"/>
      <c r="X82" s="8"/>
      <c r="Y82" s="8"/>
      <c r="Z82" s="8"/>
    </row>
    <row r="83" ht="15.7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8"/>
      <c r="W83" s="8"/>
      <c r="X83" s="8"/>
      <c r="Y83" s="8"/>
      <c r="Z83" s="8"/>
    </row>
    <row r="84" ht="15.7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8"/>
      <c r="W84" s="8"/>
      <c r="X84" s="8"/>
      <c r="Y84" s="8"/>
      <c r="Z84" s="8"/>
    </row>
    <row r="85" ht="15.7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8"/>
      <c r="W85" s="8"/>
      <c r="X85" s="8"/>
      <c r="Y85" s="8"/>
      <c r="Z85" s="8"/>
    </row>
    <row r="86" ht="15.7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8"/>
      <c r="W86" s="8"/>
      <c r="X86" s="8"/>
      <c r="Y86" s="8"/>
      <c r="Z86" s="8"/>
    </row>
    <row r="87" ht="15.7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8"/>
      <c r="W87" s="8"/>
      <c r="X87" s="8"/>
      <c r="Y87" s="8"/>
      <c r="Z87" s="8"/>
    </row>
    <row r="88" ht="15.7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8"/>
      <c r="W88" s="8"/>
      <c r="X88" s="8"/>
      <c r="Y88" s="8"/>
      <c r="Z88" s="8"/>
    </row>
    <row r="89" ht="15.7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8"/>
      <c r="W89" s="8"/>
      <c r="X89" s="8"/>
      <c r="Y89" s="8"/>
      <c r="Z89" s="8"/>
    </row>
    <row r="90" ht="15.7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8"/>
      <c r="W90" s="8"/>
      <c r="X90" s="8"/>
      <c r="Y90" s="8"/>
      <c r="Z90" s="8"/>
    </row>
    <row r="91" ht="15.7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8"/>
      <c r="W91" s="8"/>
      <c r="X91" s="8"/>
      <c r="Y91" s="8"/>
      <c r="Z91" s="8"/>
    </row>
    <row r="92" ht="15.7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8"/>
      <c r="W92" s="8"/>
      <c r="X92" s="8"/>
      <c r="Y92" s="8"/>
      <c r="Z92" s="8"/>
    </row>
    <row r="93" ht="15.7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8"/>
      <c r="W93" s="8"/>
      <c r="X93" s="8"/>
      <c r="Y93" s="8"/>
      <c r="Z93" s="8"/>
    </row>
    <row r="94" ht="15.7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8"/>
      <c r="W94" s="8"/>
      <c r="X94" s="8"/>
      <c r="Y94" s="8"/>
      <c r="Z94" s="8"/>
    </row>
    <row r="95" ht="15.7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8"/>
      <c r="W95" s="8"/>
      <c r="X95" s="8"/>
      <c r="Y95" s="8"/>
      <c r="Z95" s="8"/>
    </row>
    <row r="96" ht="15.7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8"/>
      <c r="W96" s="8"/>
      <c r="X96" s="8"/>
      <c r="Y96" s="8"/>
      <c r="Z96" s="8"/>
    </row>
    <row r="97" ht="15.7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8"/>
      <c r="W97" s="8"/>
      <c r="X97" s="8"/>
      <c r="Y97" s="8"/>
      <c r="Z97" s="8"/>
    </row>
    <row r="98" ht="15.7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8"/>
      <c r="W98" s="8"/>
      <c r="X98" s="8"/>
      <c r="Y98" s="8"/>
      <c r="Z98" s="8"/>
    </row>
    <row r="99" ht="15.7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8"/>
      <c r="W99" s="8"/>
      <c r="X99" s="8"/>
      <c r="Y99" s="8"/>
      <c r="Z99" s="8"/>
    </row>
    <row r="100" ht="15.7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8"/>
      <c r="W100" s="8"/>
      <c r="X100" s="8"/>
      <c r="Y100" s="8"/>
      <c r="Z100" s="8"/>
    </row>
    <row r="101" ht="15.7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8"/>
      <c r="W101" s="8"/>
      <c r="X101" s="8"/>
      <c r="Y101" s="8"/>
      <c r="Z101" s="8"/>
    </row>
    <row r="102" ht="15.7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8"/>
      <c r="W102" s="8"/>
      <c r="X102" s="8"/>
      <c r="Y102" s="8"/>
      <c r="Z102" s="8"/>
    </row>
    <row r="103" ht="15.7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8"/>
      <c r="W103" s="8"/>
      <c r="X103" s="8"/>
      <c r="Y103" s="8"/>
      <c r="Z103" s="8"/>
    </row>
    <row r="104" ht="15.7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8"/>
      <c r="W104" s="8"/>
      <c r="X104" s="8"/>
      <c r="Y104" s="8"/>
      <c r="Z104" s="8"/>
    </row>
    <row r="105" ht="15.7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8"/>
      <c r="W105" s="8"/>
      <c r="X105" s="8"/>
      <c r="Y105" s="8"/>
      <c r="Z105" s="8"/>
    </row>
    <row r="106" ht="15.7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8"/>
      <c r="W106" s="8"/>
      <c r="X106" s="8"/>
      <c r="Y106" s="8"/>
      <c r="Z106" s="8"/>
    </row>
    <row r="107" ht="15.7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8"/>
      <c r="W107" s="8"/>
      <c r="X107" s="8"/>
      <c r="Y107" s="8"/>
      <c r="Z107" s="8"/>
    </row>
    <row r="108" ht="15.7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8"/>
      <c r="W108" s="8"/>
      <c r="X108" s="8"/>
      <c r="Y108" s="8"/>
      <c r="Z108" s="8"/>
    </row>
    <row r="109" ht="15.7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8"/>
      <c r="W109" s="8"/>
      <c r="X109" s="8"/>
      <c r="Y109" s="8"/>
      <c r="Z109" s="8"/>
    </row>
    <row r="110" ht="15.7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8"/>
      <c r="W110" s="8"/>
      <c r="X110" s="8"/>
      <c r="Y110" s="8"/>
      <c r="Z110" s="8"/>
    </row>
    <row r="111" ht="15.7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8"/>
      <c r="W111" s="8"/>
      <c r="X111" s="8"/>
      <c r="Y111" s="8"/>
      <c r="Z111" s="8"/>
    </row>
    <row r="112" ht="15.7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8"/>
      <c r="W112" s="8"/>
      <c r="X112" s="8"/>
      <c r="Y112" s="8"/>
      <c r="Z112" s="8"/>
    </row>
    <row r="113" ht="15.7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8"/>
      <c r="W113" s="8"/>
      <c r="X113" s="8"/>
      <c r="Y113" s="8"/>
      <c r="Z113" s="8"/>
    </row>
    <row r="114" ht="15.7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8"/>
      <c r="W114" s="8"/>
      <c r="X114" s="8"/>
      <c r="Y114" s="8"/>
      <c r="Z114" s="8"/>
    </row>
    <row r="115" ht="15.7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8"/>
      <c r="W115" s="8"/>
      <c r="X115" s="8"/>
      <c r="Y115" s="8"/>
      <c r="Z115" s="8"/>
    </row>
    <row r="116" ht="15.7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8"/>
      <c r="W116" s="8"/>
      <c r="X116" s="8"/>
      <c r="Y116" s="8"/>
      <c r="Z116" s="8"/>
    </row>
    <row r="117" ht="15.7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8"/>
      <c r="W117" s="8"/>
      <c r="X117" s="8"/>
      <c r="Y117" s="8"/>
      <c r="Z117" s="8"/>
    </row>
    <row r="118" ht="15.7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8"/>
      <c r="W118" s="8"/>
      <c r="X118" s="8"/>
      <c r="Y118" s="8"/>
      <c r="Z118" s="8"/>
    </row>
    <row r="119" ht="15.7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8"/>
      <c r="W119" s="8"/>
      <c r="X119" s="8"/>
      <c r="Y119" s="8"/>
      <c r="Z119" s="8"/>
    </row>
    <row r="120" ht="15.7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8"/>
      <c r="W120" s="8"/>
      <c r="X120" s="8"/>
      <c r="Y120" s="8"/>
      <c r="Z120" s="8"/>
    </row>
    <row r="121" ht="15.7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8"/>
      <c r="W121" s="8"/>
      <c r="X121" s="8"/>
      <c r="Y121" s="8"/>
      <c r="Z121" s="8"/>
    </row>
    <row r="122" ht="15.7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8"/>
      <c r="W122" s="8"/>
      <c r="X122" s="8"/>
      <c r="Y122" s="8"/>
      <c r="Z122" s="8"/>
    </row>
    <row r="123" ht="15.7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8"/>
      <c r="W123" s="8"/>
      <c r="X123" s="8"/>
      <c r="Y123" s="8"/>
      <c r="Z123" s="8"/>
    </row>
    <row r="124" ht="15.7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8"/>
      <c r="W124" s="8"/>
      <c r="X124" s="8"/>
      <c r="Y124" s="8"/>
      <c r="Z124" s="8"/>
    </row>
    <row r="125" ht="15.7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8"/>
      <c r="W125" s="8"/>
      <c r="X125" s="8"/>
      <c r="Y125" s="8"/>
      <c r="Z125" s="8"/>
    </row>
    <row r="126" ht="15.7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8"/>
      <c r="W126" s="8"/>
      <c r="X126" s="8"/>
      <c r="Y126" s="8"/>
      <c r="Z126" s="8"/>
    </row>
    <row r="127" ht="15.7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8"/>
      <c r="W127" s="8"/>
      <c r="X127" s="8"/>
      <c r="Y127" s="8"/>
      <c r="Z127" s="8"/>
    </row>
    <row r="128" ht="15.7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8"/>
      <c r="W128" s="8"/>
      <c r="X128" s="8"/>
      <c r="Y128" s="8"/>
      <c r="Z128" s="8"/>
    </row>
    <row r="129" ht="15.7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8"/>
      <c r="W129" s="8"/>
      <c r="X129" s="8"/>
      <c r="Y129" s="8"/>
      <c r="Z129" s="8"/>
    </row>
    <row r="130" ht="15.7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8"/>
      <c r="W130" s="8"/>
      <c r="X130" s="8"/>
      <c r="Y130" s="8"/>
      <c r="Z130" s="8"/>
    </row>
    <row r="131" ht="15.7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8"/>
      <c r="W131" s="8"/>
      <c r="X131" s="8"/>
      <c r="Y131" s="8"/>
      <c r="Z131" s="8"/>
    </row>
    <row r="132" ht="15.7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8"/>
      <c r="W132" s="8"/>
      <c r="X132" s="8"/>
      <c r="Y132" s="8"/>
      <c r="Z132" s="8"/>
    </row>
    <row r="133" ht="15.7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8"/>
      <c r="W133" s="8"/>
      <c r="X133" s="8"/>
      <c r="Y133" s="8"/>
      <c r="Z133" s="8"/>
    </row>
    <row r="134" ht="15.7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8"/>
      <c r="W134" s="8"/>
      <c r="X134" s="8"/>
      <c r="Y134" s="8"/>
      <c r="Z134" s="8"/>
    </row>
    <row r="135" ht="15.7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8"/>
      <c r="W135" s="8"/>
      <c r="X135" s="8"/>
      <c r="Y135" s="8"/>
      <c r="Z135" s="8"/>
    </row>
    <row r="136" ht="15.7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8"/>
      <c r="W136" s="8"/>
      <c r="X136" s="8"/>
      <c r="Y136" s="8"/>
      <c r="Z136" s="8"/>
    </row>
    <row r="137" ht="15.7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8"/>
      <c r="W137" s="8"/>
      <c r="X137" s="8"/>
      <c r="Y137" s="8"/>
      <c r="Z137" s="8"/>
    </row>
    <row r="138" ht="15.7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8"/>
      <c r="W138" s="8"/>
      <c r="X138" s="8"/>
      <c r="Y138" s="8"/>
      <c r="Z138" s="8"/>
    </row>
    <row r="139" ht="15.7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8"/>
      <c r="W139" s="8"/>
      <c r="X139" s="8"/>
      <c r="Y139" s="8"/>
      <c r="Z139" s="8"/>
    </row>
    <row r="140" ht="15.7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8"/>
      <c r="W140" s="8"/>
      <c r="X140" s="8"/>
      <c r="Y140" s="8"/>
      <c r="Z140" s="8"/>
    </row>
    <row r="141" ht="15.7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8"/>
      <c r="W141" s="8"/>
      <c r="X141" s="8"/>
      <c r="Y141" s="8"/>
      <c r="Z141" s="8"/>
    </row>
    <row r="142" ht="15.7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8"/>
      <c r="W142" s="8"/>
      <c r="X142" s="8"/>
      <c r="Y142" s="8"/>
      <c r="Z142" s="8"/>
    </row>
    <row r="143" ht="15.7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8"/>
      <c r="W143" s="8"/>
      <c r="X143" s="8"/>
      <c r="Y143" s="8"/>
      <c r="Z143" s="8"/>
    </row>
    <row r="144" ht="15.7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8"/>
      <c r="W144" s="8"/>
      <c r="X144" s="8"/>
      <c r="Y144" s="8"/>
      <c r="Z144" s="8"/>
    </row>
    <row r="145" ht="15.7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8"/>
      <c r="W145" s="8"/>
      <c r="X145" s="8"/>
      <c r="Y145" s="8"/>
      <c r="Z145" s="8"/>
    </row>
    <row r="146" ht="15.7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8"/>
      <c r="W146" s="8"/>
      <c r="X146" s="8"/>
      <c r="Y146" s="8"/>
      <c r="Z146" s="8"/>
    </row>
    <row r="147" ht="15.7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8"/>
      <c r="W147" s="8"/>
      <c r="X147" s="8"/>
      <c r="Y147" s="8"/>
      <c r="Z147" s="8"/>
    </row>
    <row r="148" ht="15.7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8"/>
      <c r="W148" s="8"/>
      <c r="X148" s="8"/>
      <c r="Y148" s="8"/>
      <c r="Z148" s="8"/>
    </row>
    <row r="149" ht="15.7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8"/>
      <c r="W149" s="8"/>
      <c r="X149" s="8"/>
      <c r="Y149" s="8"/>
      <c r="Z149" s="8"/>
    </row>
    <row r="150" ht="15.7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8"/>
      <c r="W150" s="8"/>
      <c r="X150" s="8"/>
      <c r="Y150" s="8"/>
      <c r="Z150" s="8"/>
    </row>
    <row r="151" ht="15.7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8"/>
      <c r="W151" s="8"/>
      <c r="X151" s="8"/>
      <c r="Y151" s="8"/>
      <c r="Z151" s="8"/>
    </row>
    <row r="152" ht="15.7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8"/>
      <c r="W152" s="8"/>
      <c r="X152" s="8"/>
      <c r="Y152" s="8"/>
      <c r="Z152" s="8"/>
    </row>
    <row r="153" ht="15.7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8"/>
      <c r="W153" s="8"/>
      <c r="X153" s="8"/>
      <c r="Y153" s="8"/>
      <c r="Z153" s="8"/>
    </row>
    <row r="154" ht="15.7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8"/>
      <c r="W154" s="8"/>
      <c r="X154" s="8"/>
      <c r="Y154" s="8"/>
      <c r="Z154" s="8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8"/>
      <c r="W155" s="8"/>
      <c r="X155" s="8"/>
      <c r="Y155" s="8"/>
      <c r="Z155" s="8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8"/>
      <c r="W156" s="8"/>
      <c r="X156" s="8"/>
      <c r="Y156" s="8"/>
      <c r="Z156" s="8"/>
    </row>
    <row r="157" ht="15.7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8"/>
      <c r="W157" s="8"/>
      <c r="X157" s="8"/>
      <c r="Y157" s="8"/>
      <c r="Z157" s="8"/>
    </row>
    <row r="158" ht="15.7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8"/>
      <c r="W158" s="8"/>
      <c r="X158" s="8"/>
      <c r="Y158" s="8"/>
      <c r="Z158" s="8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8"/>
      <c r="W159" s="8"/>
      <c r="X159" s="8"/>
      <c r="Y159" s="8"/>
      <c r="Z159" s="8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8"/>
      <c r="W160" s="8"/>
      <c r="X160" s="8"/>
      <c r="Y160" s="8"/>
      <c r="Z160" s="8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8"/>
      <c r="W161" s="8"/>
      <c r="X161" s="8"/>
      <c r="Y161" s="8"/>
      <c r="Z161" s="8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8"/>
      <c r="W162" s="8"/>
      <c r="X162" s="8"/>
      <c r="Y162" s="8"/>
      <c r="Z162" s="8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8"/>
      <c r="W163" s="8"/>
      <c r="X163" s="8"/>
      <c r="Y163" s="8"/>
      <c r="Z163" s="8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8"/>
      <c r="W164" s="8"/>
      <c r="X164" s="8"/>
      <c r="Y164" s="8"/>
      <c r="Z164" s="8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8"/>
      <c r="W165" s="8"/>
      <c r="X165" s="8"/>
      <c r="Y165" s="8"/>
      <c r="Z165" s="8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8"/>
      <c r="W166" s="8"/>
      <c r="X166" s="8"/>
      <c r="Y166" s="8"/>
      <c r="Z166" s="8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8"/>
      <c r="W167" s="8"/>
      <c r="X167" s="8"/>
      <c r="Y167" s="8"/>
      <c r="Z167" s="8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8"/>
      <c r="W168" s="8"/>
      <c r="X168" s="8"/>
      <c r="Y168" s="8"/>
      <c r="Z168" s="8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8"/>
      <c r="W169" s="8"/>
      <c r="X169" s="8"/>
      <c r="Y169" s="8"/>
      <c r="Z169" s="8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8"/>
      <c r="W170" s="8"/>
      <c r="X170" s="8"/>
      <c r="Y170" s="8"/>
      <c r="Z170" s="8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8"/>
      <c r="W171" s="8"/>
      <c r="X171" s="8"/>
      <c r="Y171" s="8"/>
      <c r="Z171" s="8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8"/>
      <c r="W172" s="8"/>
      <c r="X172" s="8"/>
      <c r="Y172" s="8"/>
      <c r="Z172" s="8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8"/>
      <c r="W173" s="8"/>
      <c r="X173" s="8"/>
      <c r="Y173" s="8"/>
      <c r="Z173" s="8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8"/>
      <c r="W174" s="8"/>
      <c r="X174" s="8"/>
      <c r="Y174" s="8"/>
      <c r="Z174" s="8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8"/>
      <c r="W175" s="8"/>
      <c r="X175" s="8"/>
      <c r="Y175" s="8"/>
      <c r="Z175" s="8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8"/>
      <c r="W176" s="8"/>
      <c r="X176" s="8"/>
      <c r="Y176" s="8"/>
      <c r="Z176" s="8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8"/>
      <c r="W177" s="8"/>
      <c r="X177" s="8"/>
      <c r="Y177" s="8"/>
      <c r="Z177" s="8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8"/>
      <c r="W178" s="8"/>
      <c r="X178" s="8"/>
      <c r="Y178" s="8"/>
      <c r="Z178" s="8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8"/>
      <c r="W179" s="8"/>
      <c r="X179" s="8"/>
      <c r="Y179" s="8"/>
      <c r="Z179" s="8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8"/>
      <c r="W180" s="8"/>
      <c r="X180" s="8"/>
      <c r="Y180" s="8"/>
      <c r="Z180" s="8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8"/>
      <c r="W181" s="8"/>
      <c r="X181" s="8"/>
      <c r="Y181" s="8"/>
      <c r="Z181" s="8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8"/>
      <c r="W182" s="8"/>
      <c r="X182" s="8"/>
      <c r="Y182" s="8"/>
      <c r="Z182" s="8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8"/>
      <c r="W183" s="8"/>
      <c r="X183" s="8"/>
      <c r="Y183" s="8"/>
      <c r="Z183" s="8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8"/>
      <c r="W184" s="8"/>
      <c r="X184" s="8"/>
      <c r="Y184" s="8"/>
      <c r="Z184" s="8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8"/>
      <c r="W185" s="8"/>
      <c r="X185" s="8"/>
      <c r="Y185" s="8"/>
      <c r="Z185" s="8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8"/>
      <c r="W186" s="8"/>
      <c r="X186" s="8"/>
      <c r="Y186" s="8"/>
      <c r="Z186" s="8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8"/>
      <c r="W187" s="8"/>
      <c r="X187" s="8"/>
      <c r="Y187" s="8"/>
      <c r="Z187" s="8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8"/>
      <c r="W188" s="8"/>
      <c r="X188" s="8"/>
      <c r="Y188" s="8"/>
      <c r="Z188" s="8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8"/>
      <c r="W189" s="8"/>
      <c r="X189" s="8"/>
      <c r="Y189" s="8"/>
      <c r="Z189" s="8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8"/>
      <c r="W190" s="8"/>
      <c r="X190" s="8"/>
      <c r="Y190" s="8"/>
      <c r="Z190" s="8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8"/>
      <c r="W191" s="8"/>
      <c r="X191" s="8"/>
      <c r="Y191" s="8"/>
      <c r="Z191" s="8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8"/>
      <c r="W192" s="8"/>
      <c r="X192" s="8"/>
      <c r="Y192" s="8"/>
      <c r="Z192" s="8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8"/>
      <c r="W193" s="8"/>
      <c r="X193" s="8"/>
      <c r="Y193" s="8"/>
      <c r="Z193" s="8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8"/>
      <c r="W194" s="8"/>
      <c r="X194" s="8"/>
      <c r="Y194" s="8"/>
      <c r="Z194" s="8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8"/>
      <c r="W195" s="8"/>
      <c r="X195" s="8"/>
      <c r="Y195" s="8"/>
      <c r="Z195" s="8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8"/>
      <c r="W196" s="8"/>
      <c r="X196" s="8"/>
      <c r="Y196" s="8"/>
      <c r="Z196" s="8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8"/>
      <c r="W197" s="8"/>
      <c r="X197" s="8"/>
      <c r="Y197" s="8"/>
      <c r="Z197" s="8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8"/>
      <c r="W198" s="8"/>
      <c r="X198" s="8"/>
      <c r="Y198" s="8"/>
      <c r="Z198" s="8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8"/>
      <c r="W199" s="8"/>
      <c r="X199" s="8"/>
      <c r="Y199" s="8"/>
      <c r="Z199" s="8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8"/>
      <c r="W200" s="8"/>
      <c r="X200" s="8"/>
      <c r="Y200" s="8"/>
      <c r="Z200" s="8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8"/>
      <c r="W201" s="8"/>
      <c r="X201" s="8"/>
      <c r="Y201" s="8"/>
      <c r="Z201" s="8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8"/>
      <c r="W202" s="8"/>
      <c r="X202" s="8"/>
      <c r="Y202" s="8"/>
      <c r="Z202" s="8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8"/>
      <c r="W203" s="8"/>
      <c r="X203" s="8"/>
      <c r="Y203" s="8"/>
      <c r="Z203" s="8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8"/>
      <c r="W204" s="8"/>
      <c r="X204" s="8"/>
      <c r="Y204" s="8"/>
      <c r="Z204" s="8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8"/>
      <c r="W205" s="8"/>
      <c r="X205" s="8"/>
      <c r="Y205" s="8"/>
      <c r="Z205" s="8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8"/>
      <c r="W206" s="8"/>
      <c r="X206" s="8"/>
      <c r="Y206" s="8"/>
      <c r="Z206" s="8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8"/>
      <c r="W207" s="8"/>
      <c r="X207" s="8"/>
      <c r="Y207" s="8"/>
      <c r="Z207" s="8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8"/>
      <c r="W208" s="8"/>
      <c r="X208" s="8"/>
      <c r="Y208" s="8"/>
      <c r="Z208" s="8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8"/>
      <c r="W209" s="8"/>
      <c r="X209" s="8"/>
      <c r="Y209" s="8"/>
      <c r="Z209" s="8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8"/>
      <c r="W210" s="8"/>
      <c r="X210" s="8"/>
      <c r="Y210" s="8"/>
      <c r="Z210" s="8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8"/>
      <c r="W211" s="8"/>
      <c r="X211" s="8"/>
      <c r="Y211" s="8"/>
      <c r="Z211" s="8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8"/>
      <c r="W212" s="8"/>
      <c r="X212" s="8"/>
      <c r="Y212" s="8"/>
      <c r="Z212" s="8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8"/>
      <c r="W213" s="8"/>
      <c r="X213" s="8"/>
      <c r="Y213" s="8"/>
      <c r="Z213" s="8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8"/>
      <c r="W214" s="8"/>
      <c r="X214" s="8"/>
      <c r="Y214" s="8"/>
      <c r="Z214" s="8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8"/>
      <c r="W215" s="8"/>
      <c r="X215" s="8"/>
      <c r="Y215" s="8"/>
      <c r="Z215" s="8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8"/>
      <c r="W216" s="8"/>
      <c r="X216" s="8"/>
      <c r="Y216" s="8"/>
      <c r="Z216" s="8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8"/>
      <c r="W217" s="8"/>
      <c r="X217" s="8"/>
      <c r="Y217" s="8"/>
      <c r="Z217" s="8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8"/>
      <c r="W218" s="8"/>
      <c r="X218" s="8"/>
      <c r="Y218" s="8"/>
      <c r="Z218" s="8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8"/>
      <c r="W219" s="8"/>
      <c r="X219" s="8"/>
      <c r="Y219" s="8"/>
      <c r="Z219" s="8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8"/>
      <c r="W220" s="8"/>
      <c r="X220" s="8"/>
      <c r="Y220" s="8"/>
      <c r="Z220" s="8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8"/>
      <c r="W221" s="8"/>
      <c r="X221" s="8"/>
      <c r="Y221" s="8"/>
      <c r="Z221" s="8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8"/>
      <c r="W222" s="8"/>
      <c r="X222" s="8"/>
      <c r="Y222" s="8"/>
      <c r="Z222" s="8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8"/>
      <c r="W223" s="8"/>
      <c r="X223" s="8"/>
      <c r="Y223" s="8"/>
      <c r="Z223" s="8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8"/>
      <c r="W224" s="8"/>
      <c r="X224" s="8"/>
      <c r="Y224" s="8"/>
      <c r="Z224" s="8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8"/>
      <c r="W225" s="8"/>
      <c r="X225" s="8"/>
      <c r="Y225" s="8"/>
      <c r="Z225" s="8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8"/>
      <c r="W226" s="8"/>
      <c r="X226" s="8"/>
      <c r="Y226" s="8"/>
      <c r="Z226" s="8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8"/>
      <c r="W227" s="8"/>
      <c r="X227" s="8"/>
      <c r="Y227" s="8"/>
      <c r="Z227" s="8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8"/>
      <c r="W228" s="8"/>
      <c r="X228" s="8"/>
      <c r="Y228" s="8"/>
      <c r="Z228" s="8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8"/>
      <c r="W229" s="8"/>
      <c r="X229" s="8"/>
      <c r="Y229" s="8"/>
      <c r="Z229" s="8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8"/>
      <c r="W230" s="8"/>
      <c r="X230" s="8"/>
      <c r="Y230" s="8"/>
      <c r="Z230" s="8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8"/>
      <c r="W231" s="8"/>
      <c r="X231" s="8"/>
      <c r="Y231" s="8"/>
      <c r="Z231" s="8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8"/>
      <c r="W232" s="8"/>
      <c r="X232" s="8"/>
      <c r="Y232" s="8"/>
      <c r="Z232" s="8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8"/>
      <c r="W233" s="8"/>
      <c r="X233" s="8"/>
      <c r="Y233" s="8"/>
      <c r="Z233" s="8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8"/>
      <c r="W234" s="8"/>
      <c r="X234" s="8"/>
      <c r="Y234" s="8"/>
      <c r="Z234" s="8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8"/>
      <c r="W235" s="8"/>
      <c r="X235" s="8"/>
      <c r="Y235" s="8"/>
      <c r="Z235" s="8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8"/>
      <c r="W236" s="8"/>
      <c r="X236" s="8"/>
      <c r="Y236" s="8"/>
      <c r="Z236" s="8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8"/>
      <c r="W237" s="8"/>
      <c r="X237" s="8"/>
      <c r="Y237" s="8"/>
      <c r="Z237" s="8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8"/>
      <c r="W238" s="8"/>
      <c r="X238" s="8"/>
      <c r="Y238" s="8"/>
      <c r="Z238" s="8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8"/>
      <c r="W239" s="8"/>
      <c r="X239" s="8"/>
      <c r="Y239" s="8"/>
      <c r="Z239" s="8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8"/>
      <c r="W240" s="8"/>
      <c r="X240" s="8"/>
      <c r="Y240" s="8"/>
      <c r="Z240" s="8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8"/>
      <c r="W241" s="8"/>
      <c r="X241" s="8"/>
      <c r="Y241" s="8"/>
      <c r="Z241" s="8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8"/>
      <c r="W242" s="8"/>
      <c r="X242" s="8"/>
      <c r="Y242" s="8"/>
      <c r="Z242" s="8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8"/>
      <c r="W243" s="8"/>
      <c r="X243" s="8"/>
      <c r="Y243" s="8"/>
      <c r="Z243" s="8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8"/>
      <c r="W244" s="8"/>
      <c r="X244" s="8"/>
      <c r="Y244" s="8"/>
      <c r="Z244" s="8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8"/>
      <c r="W245" s="8"/>
      <c r="X245" s="8"/>
      <c r="Y245" s="8"/>
      <c r="Z245" s="8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8"/>
      <c r="W246" s="8"/>
      <c r="X246" s="8"/>
      <c r="Y246" s="8"/>
      <c r="Z246" s="8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8"/>
      <c r="W247" s="8"/>
      <c r="X247" s="8"/>
      <c r="Y247" s="8"/>
      <c r="Z247" s="8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8"/>
      <c r="W248" s="8"/>
      <c r="X248" s="8"/>
      <c r="Y248" s="8"/>
      <c r="Z248" s="8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8"/>
      <c r="W249" s="8"/>
      <c r="X249" s="8"/>
      <c r="Y249" s="8"/>
      <c r="Z249" s="8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8"/>
      <c r="W250" s="8"/>
      <c r="X250" s="8"/>
      <c r="Y250" s="8"/>
      <c r="Z250" s="8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8"/>
      <c r="W251" s="8"/>
      <c r="X251" s="8"/>
      <c r="Y251" s="8"/>
      <c r="Z251" s="8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8"/>
      <c r="W252" s="8"/>
      <c r="X252" s="8"/>
      <c r="Y252" s="8"/>
      <c r="Z252" s="8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8"/>
      <c r="W253" s="8"/>
      <c r="X253" s="8"/>
      <c r="Y253" s="8"/>
      <c r="Z253" s="8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8"/>
      <c r="W254" s="8"/>
      <c r="X254" s="8"/>
      <c r="Y254" s="8"/>
      <c r="Z254" s="8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8"/>
      <c r="W255" s="8"/>
      <c r="X255" s="8"/>
      <c r="Y255" s="8"/>
      <c r="Z255" s="8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8"/>
      <c r="W256" s="8"/>
      <c r="X256" s="8"/>
      <c r="Y256" s="8"/>
      <c r="Z256" s="8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8"/>
      <c r="W257" s="8"/>
      <c r="X257" s="8"/>
      <c r="Y257" s="8"/>
      <c r="Z257" s="8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8"/>
      <c r="W258" s="8"/>
      <c r="X258" s="8"/>
      <c r="Y258" s="8"/>
      <c r="Z258" s="8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8"/>
      <c r="W259" s="8"/>
      <c r="X259" s="8"/>
      <c r="Y259" s="8"/>
      <c r="Z259" s="8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8"/>
      <c r="W260" s="8"/>
      <c r="X260" s="8"/>
      <c r="Y260" s="8"/>
      <c r="Z260" s="8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8"/>
      <c r="W261" s="8"/>
      <c r="X261" s="8"/>
      <c r="Y261" s="8"/>
      <c r="Z261" s="8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8"/>
      <c r="W262" s="8"/>
      <c r="X262" s="8"/>
      <c r="Y262" s="8"/>
      <c r="Z262" s="8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8"/>
      <c r="W263" s="8"/>
      <c r="X263" s="8"/>
      <c r="Y263" s="8"/>
      <c r="Z263" s="8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8"/>
      <c r="W264" s="8"/>
      <c r="X264" s="8"/>
      <c r="Y264" s="8"/>
      <c r="Z264" s="8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8"/>
      <c r="W265" s="8"/>
      <c r="X265" s="8"/>
      <c r="Y265" s="8"/>
      <c r="Z265" s="8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8"/>
      <c r="W266" s="8"/>
      <c r="X266" s="8"/>
      <c r="Y266" s="8"/>
      <c r="Z266" s="8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1.6" top="1.0"/>
  <pageSetup paperSize="5" orientation="landscape"/>
  <rowBreaks count="1" manualBreakCount="1">
    <brk id="40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60"/>
      <c r="B1" s="261" t="s">
        <v>172</v>
      </c>
      <c r="U1" s="260"/>
      <c r="V1" s="8"/>
      <c r="W1" s="8"/>
      <c r="X1" s="8"/>
      <c r="Y1" s="8"/>
      <c r="Z1" s="8"/>
    </row>
    <row r="2">
      <c r="A2" s="260"/>
      <c r="B2" s="262" t="s">
        <v>173</v>
      </c>
      <c r="U2" s="260"/>
      <c r="V2" s="8"/>
      <c r="W2" s="8"/>
      <c r="X2" s="8"/>
      <c r="Y2" s="8"/>
      <c r="Z2" s="8"/>
    </row>
    <row r="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8"/>
      <c r="W3" s="8"/>
      <c r="X3" s="8"/>
      <c r="Y3" s="8"/>
      <c r="Z3" s="8"/>
    </row>
    <row r="4">
      <c r="A4" s="260"/>
      <c r="B4" s="260" t="s">
        <v>174</v>
      </c>
      <c r="C4" s="260"/>
      <c r="D4" s="260" t="s">
        <v>6</v>
      </c>
      <c r="E4" s="260"/>
      <c r="F4" s="260"/>
      <c r="G4" s="260"/>
      <c r="H4" s="260"/>
      <c r="I4" s="260"/>
      <c r="J4" s="260"/>
      <c r="K4" s="260"/>
      <c r="L4" s="260"/>
      <c r="M4" s="260" t="s">
        <v>175</v>
      </c>
      <c r="N4" s="260"/>
      <c r="O4" s="260"/>
      <c r="P4" s="260"/>
      <c r="Q4" s="260"/>
      <c r="R4" s="260"/>
      <c r="S4" s="260"/>
      <c r="T4" s="260"/>
      <c r="U4" s="260"/>
      <c r="V4" s="8"/>
      <c r="W4" s="8"/>
      <c r="X4" s="8"/>
      <c r="Y4" s="8"/>
      <c r="Z4" s="8"/>
    </row>
    <row r="5">
      <c r="A5" s="260"/>
      <c r="B5" s="260" t="s">
        <v>176</v>
      </c>
      <c r="C5" s="260"/>
      <c r="D5" s="260" t="s">
        <v>6</v>
      </c>
      <c r="E5" s="260"/>
      <c r="F5" s="260"/>
      <c r="G5" s="260"/>
      <c r="H5" s="260"/>
      <c r="I5" s="260"/>
      <c r="J5" s="260"/>
      <c r="K5" s="260"/>
      <c r="L5" s="260"/>
      <c r="M5" s="260" t="s">
        <v>177</v>
      </c>
      <c r="N5" s="260"/>
      <c r="O5" s="260"/>
      <c r="P5" s="260"/>
      <c r="Q5" s="260"/>
      <c r="R5" s="260"/>
      <c r="S5" s="260"/>
      <c r="T5" s="260"/>
      <c r="U5" s="260"/>
      <c r="V5" s="8"/>
      <c r="W5" s="8"/>
      <c r="X5" s="8"/>
      <c r="Y5" s="8"/>
      <c r="Z5" s="8"/>
    </row>
    <row r="6">
      <c r="A6" s="260"/>
      <c r="B6" s="260" t="s">
        <v>178</v>
      </c>
      <c r="C6" s="260"/>
      <c r="D6" s="260" t="s">
        <v>6</v>
      </c>
      <c r="E6" s="260"/>
      <c r="F6" s="260"/>
      <c r="G6" s="260"/>
      <c r="H6" s="260"/>
      <c r="I6" s="260"/>
      <c r="J6" s="260"/>
      <c r="K6" s="260"/>
      <c r="L6" s="260"/>
      <c r="M6" s="260" t="s">
        <v>179</v>
      </c>
      <c r="N6" s="260"/>
      <c r="O6" s="260"/>
      <c r="P6" s="260"/>
      <c r="Q6" s="260"/>
      <c r="R6" s="260"/>
      <c r="S6" s="260"/>
      <c r="T6" s="260"/>
      <c r="U6" s="260"/>
      <c r="V6" s="8"/>
      <c r="W6" s="8"/>
      <c r="X6" s="8"/>
      <c r="Y6" s="8"/>
      <c r="Z6" s="8"/>
    </row>
    <row r="7">
      <c r="A7" s="260"/>
      <c r="B7" s="260" t="s">
        <v>180</v>
      </c>
      <c r="C7" s="260"/>
      <c r="D7" s="260" t="s">
        <v>6</v>
      </c>
      <c r="E7" s="260"/>
      <c r="F7" s="260"/>
      <c r="G7" s="260"/>
      <c r="H7" s="260"/>
      <c r="I7" s="260"/>
      <c r="J7" s="260"/>
      <c r="K7" s="260"/>
      <c r="L7" s="260"/>
      <c r="M7" s="8"/>
      <c r="N7" s="260"/>
      <c r="O7" s="260"/>
      <c r="P7" s="260"/>
      <c r="Q7" s="260"/>
      <c r="R7" s="260"/>
      <c r="S7" s="263"/>
      <c r="U7" s="260"/>
      <c r="V7" s="8"/>
      <c r="W7" s="8"/>
      <c r="X7" s="8"/>
      <c r="Y7" s="8"/>
      <c r="Z7" s="8"/>
    </row>
    <row r="8">
      <c r="A8" s="260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4"/>
      <c r="U8" s="260"/>
      <c r="V8" s="8"/>
      <c r="W8" s="8"/>
      <c r="X8" s="8"/>
      <c r="Y8" s="8"/>
      <c r="Z8" s="8"/>
    </row>
    <row r="9">
      <c r="A9" s="260"/>
      <c r="B9" s="265" t="s">
        <v>181</v>
      </c>
      <c r="C9" s="266" t="s">
        <v>182</v>
      </c>
      <c r="D9" s="5"/>
      <c r="E9" s="23"/>
      <c r="F9" s="267" t="s">
        <v>183</v>
      </c>
      <c r="G9" s="37"/>
      <c r="H9" s="37"/>
      <c r="I9" s="37"/>
      <c r="J9" s="37"/>
      <c r="K9" s="38"/>
      <c r="L9" s="267" t="s">
        <v>184</v>
      </c>
      <c r="M9" s="37"/>
      <c r="N9" s="37"/>
      <c r="O9" s="37"/>
      <c r="P9" s="37"/>
      <c r="Q9" s="37"/>
      <c r="R9" s="37"/>
      <c r="S9" s="38"/>
      <c r="T9" s="265" t="s">
        <v>185</v>
      </c>
      <c r="U9" s="260"/>
      <c r="V9" s="8"/>
      <c r="W9" s="8"/>
      <c r="X9" s="8"/>
      <c r="Y9" s="8"/>
      <c r="Z9" s="8"/>
    </row>
    <row r="10">
      <c r="A10" s="260"/>
      <c r="B10" s="12"/>
      <c r="C10" s="135"/>
      <c r="E10" s="109"/>
      <c r="F10" s="268" t="s">
        <v>186</v>
      </c>
      <c r="G10" s="268" t="s">
        <v>187</v>
      </c>
      <c r="H10" s="268" t="s">
        <v>188</v>
      </c>
      <c r="I10" s="269" t="s">
        <v>189</v>
      </c>
      <c r="J10" s="23"/>
      <c r="K10" s="268" t="s">
        <v>190</v>
      </c>
      <c r="L10" s="265" t="s">
        <v>191</v>
      </c>
      <c r="M10" s="265" t="s">
        <v>192</v>
      </c>
      <c r="N10" s="267" t="s">
        <v>193</v>
      </c>
      <c r="O10" s="37"/>
      <c r="P10" s="37"/>
      <c r="Q10" s="37"/>
      <c r="R10" s="37"/>
      <c r="S10" s="38"/>
      <c r="T10" s="12"/>
      <c r="U10" s="270"/>
      <c r="V10" s="8"/>
      <c r="W10" s="8"/>
      <c r="X10" s="8"/>
      <c r="Y10" s="8"/>
      <c r="Z10" s="8"/>
    </row>
    <row r="11">
      <c r="A11" s="260"/>
      <c r="B11" s="12"/>
      <c r="C11" s="135"/>
      <c r="E11" s="109"/>
      <c r="F11" s="12"/>
      <c r="G11" s="12"/>
      <c r="H11" s="12"/>
      <c r="I11" s="135"/>
      <c r="J11" s="109"/>
      <c r="K11" s="12"/>
      <c r="L11" s="12"/>
      <c r="M11" s="12"/>
      <c r="N11" s="267" t="s">
        <v>194</v>
      </c>
      <c r="O11" s="37"/>
      <c r="P11" s="38"/>
      <c r="Q11" s="267" t="s">
        <v>195</v>
      </c>
      <c r="R11" s="37"/>
      <c r="S11" s="38"/>
      <c r="T11" s="12"/>
      <c r="U11" s="270"/>
      <c r="V11" s="8"/>
      <c r="W11" s="8"/>
      <c r="X11" s="8"/>
      <c r="Y11" s="8"/>
      <c r="Z11" s="8"/>
    </row>
    <row r="12">
      <c r="A12" s="260"/>
      <c r="B12" s="18"/>
      <c r="C12" s="49"/>
      <c r="D12" s="11"/>
      <c r="E12" s="50"/>
      <c r="F12" s="18"/>
      <c r="G12" s="18"/>
      <c r="H12" s="18"/>
      <c r="I12" s="49"/>
      <c r="J12" s="50"/>
      <c r="K12" s="18"/>
      <c r="L12" s="18"/>
      <c r="M12" s="18"/>
      <c r="N12" s="271" t="s">
        <v>196</v>
      </c>
      <c r="O12" s="271" t="s">
        <v>197</v>
      </c>
      <c r="P12" s="271" t="s">
        <v>198</v>
      </c>
      <c r="Q12" s="271" t="s">
        <v>196</v>
      </c>
      <c r="R12" s="271" t="s">
        <v>199</v>
      </c>
      <c r="S12" s="271" t="s">
        <v>200</v>
      </c>
      <c r="T12" s="18"/>
      <c r="U12" s="260"/>
      <c r="V12" s="8"/>
      <c r="W12" s="8"/>
      <c r="X12" s="8"/>
      <c r="Y12" s="8"/>
      <c r="Z12" s="8"/>
    </row>
    <row r="13">
      <c r="A13" s="260"/>
      <c r="B13" s="272" t="s">
        <v>201</v>
      </c>
      <c r="C13" s="273" t="s">
        <v>202</v>
      </c>
      <c r="D13" s="37"/>
      <c r="E13" s="38"/>
      <c r="F13" s="272" t="s">
        <v>203</v>
      </c>
      <c r="G13" s="272" t="s">
        <v>204</v>
      </c>
      <c r="H13" s="272" t="s">
        <v>205</v>
      </c>
      <c r="I13" s="273" t="s">
        <v>206</v>
      </c>
      <c r="J13" s="38"/>
      <c r="K13" s="272" t="s">
        <v>207</v>
      </c>
      <c r="L13" s="272" t="s">
        <v>208</v>
      </c>
      <c r="M13" s="272" t="s">
        <v>209</v>
      </c>
      <c r="N13" s="272" t="s">
        <v>210</v>
      </c>
      <c r="O13" s="272" t="s">
        <v>211</v>
      </c>
      <c r="P13" s="272" t="s">
        <v>212</v>
      </c>
      <c r="Q13" s="272" t="s">
        <v>213</v>
      </c>
      <c r="R13" s="272" t="s">
        <v>214</v>
      </c>
      <c r="S13" s="272" t="s">
        <v>215</v>
      </c>
      <c r="T13" s="272" t="s">
        <v>216</v>
      </c>
      <c r="U13" s="260"/>
      <c r="V13" s="8"/>
      <c r="W13" s="8"/>
      <c r="X13" s="8"/>
      <c r="Y13" s="8"/>
      <c r="Z13" s="8"/>
    </row>
    <row r="14">
      <c r="A14" s="274"/>
      <c r="B14" s="275">
        <f>DPA!B31</f>
        <v>5</v>
      </c>
      <c r="C14" s="275" t="str">
        <f>DPA!C31</f>
        <v>BELANJA DAERAH</v>
      </c>
      <c r="D14" s="275"/>
      <c r="E14" s="275"/>
      <c r="F14" s="275"/>
      <c r="G14" s="275"/>
      <c r="H14" s="275"/>
      <c r="I14" s="275"/>
      <c r="J14" s="275"/>
      <c r="K14" s="276">
        <f>DPA!S31</f>
        <v>94371800</v>
      </c>
      <c r="L14" s="277"/>
      <c r="M14" s="277">
        <f t="shared" ref="M14:M15" si="1">K14</f>
        <v>94371800</v>
      </c>
      <c r="N14" s="278"/>
      <c r="O14" s="278"/>
      <c r="P14" s="278"/>
      <c r="Q14" s="278"/>
      <c r="R14" s="277"/>
      <c r="S14" s="277"/>
      <c r="T14" s="277"/>
      <c r="U14" s="279"/>
      <c r="V14" s="72"/>
      <c r="W14" s="72"/>
      <c r="X14" s="72"/>
      <c r="Y14" s="72"/>
      <c r="Z14" s="72"/>
    </row>
    <row r="15">
      <c r="A15" s="274"/>
      <c r="B15" s="275" t="str">
        <f>DPA!B32</f>
        <v>5.1</v>
      </c>
      <c r="C15" s="275" t="str">
        <f>DPA!C32</f>
        <v>BELANJA OPERASI</v>
      </c>
      <c r="D15" s="275"/>
      <c r="E15" s="275"/>
      <c r="F15" s="277"/>
      <c r="G15" s="280"/>
      <c r="H15" s="280"/>
      <c r="I15" s="280"/>
      <c r="J15" s="280"/>
      <c r="K15" s="276">
        <f>DPA!S32</f>
        <v>32999400</v>
      </c>
      <c r="L15" s="277"/>
      <c r="M15" s="277">
        <f t="shared" si="1"/>
        <v>32999400</v>
      </c>
      <c r="N15" s="278"/>
      <c r="O15" s="278"/>
      <c r="P15" s="278"/>
      <c r="Q15" s="278"/>
      <c r="R15" s="277"/>
      <c r="S15" s="277"/>
      <c r="T15" s="277"/>
      <c r="U15" s="279"/>
      <c r="V15" s="72"/>
      <c r="W15" s="72"/>
      <c r="X15" s="72"/>
      <c r="Y15" s="72"/>
      <c r="Z15" s="72"/>
    </row>
    <row r="16">
      <c r="A16" s="274"/>
      <c r="B16" s="275"/>
      <c r="C16" s="275"/>
      <c r="D16" s="275"/>
      <c r="E16" s="275"/>
      <c r="F16" s="277"/>
      <c r="G16" s="280"/>
      <c r="H16" s="280"/>
      <c r="I16" s="280"/>
      <c r="J16" s="280"/>
      <c r="K16" s="276"/>
      <c r="L16" s="277"/>
      <c r="M16" s="277"/>
      <c r="N16" s="278"/>
      <c r="O16" s="278"/>
      <c r="P16" s="278"/>
      <c r="Q16" s="278"/>
      <c r="R16" s="277"/>
      <c r="S16" s="277"/>
      <c r="T16" s="277"/>
      <c r="U16" s="279"/>
      <c r="V16" s="72"/>
      <c r="W16" s="72"/>
      <c r="X16" s="72"/>
      <c r="Y16" s="72"/>
      <c r="Z16" s="72"/>
    </row>
    <row r="17">
      <c r="A17" s="274"/>
      <c r="B17" s="275" t="str">
        <f>DPA!B34</f>
        <v> 5.2.2.</v>
      </c>
      <c r="C17" s="275" t="str">
        <f>DPA!C34</f>
        <v> Belanja Barang dan Jasa</v>
      </c>
      <c r="D17" s="275"/>
      <c r="E17" s="275"/>
      <c r="F17" s="277"/>
      <c r="G17" s="280"/>
      <c r="H17" s="280"/>
      <c r="I17" s="280"/>
      <c r="J17" s="280"/>
      <c r="K17" s="276">
        <f>DPA!S34</f>
        <v>32999400</v>
      </c>
      <c r="L17" s="277"/>
      <c r="M17" s="277">
        <f>K17</f>
        <v>32999400</v>
      </c>
      <c r="N17" s="278"/>
      <c r="O17" s="278"/>
      <c r="P17" s="278"/>
      <c r="Q17" s="278"/>
      <c r="R17" s="185"/>
      <c r="S17" s="185"/>
      <c r="T17" s="277"/>
      <c r="U17" s="279"/>
      <c r="V17" s="72"/>
      <c r="W17" s="72"/>
      <c r="X17" s="72"/>
      <c r="Y17" s="72"/>
      <c r="Z17" s="72"/>
    </row>
    <row r="18">
      <c r="A18" s="274"/>
      <c r="B18" s="275"/>
      <c r="C18" s="275"/>
      <c r="D18" s="275"/>
      <c r="E18" s="275"/>
      <c r="F18" s="277"/>
      <c r="G18" s="280"/>
      <c r="H18" s="280"/>
      <c r="I18" s="280"/>
      <c r="J18" s="280"/>
      <c r="K18" s="276"/>
      <c r="L18" s="277"/>
      <c r="M18" s="277"/>
      <c r="N18" s="278"/>
      <c r="O18" s="278"/>
      <c r="P18" s="278"/>
      <c r="Q18" s="278"/>
      <c r="R18" s="277"/>
      <c r="S18" s="278"/>
      <c r="T18" s="277"/>
      <c r="U18" s="279"/>
      <c r="V18" s="72"/>
      <c r="W18" s="72"/>
      <c r="X18" s="72"/>
      <c r="Y18" s="72"/>
      <c r="Z18" s="72"/>
    </row>
    <row r="19">
      <c r="A19" s="274"/>
      <c r="B19" s="275" t="str">
        <f>DPA!B36</f>
        <v> 5.2.2.01</v>
      </c>
      <c r="C19" s="275" t="str">
        <f>DPA!C36</f>
        <v>Belanja Bahan Pakai Habis</v>
      </c>
      <c r="D19" s="275"/>
      <c r="E19" s="275"/>
      <c r="F19" s="277"/>
      <c r="G19" s="280"/>
      <c r="H19" s="280"/>
      <c r="I19" s="280"/>
      <c r="J19" s="280"/>
      <c r="K19" s="276">
        <f>DPA!S36</f>
        <v>1791400</v>
      </c>
      <c r="L19" s="277"/>
      <c r="M19" s="277">
        <f>K19</f>
        <v>1791400</v>
      </c>
      <c r="N19" s="278"/>
      <c r="O19" s="278"/>
      <c r="P19" s="278"/>
      <c r="Q19" s="278"/>
      <c r="R19" s="277"/>
      <c r="S19" s="278"/>
      <c r="T19" s="277"/>
      <c r="U19" s="279"/>
      <c r="V19" s="72"/>
      <c r="W19" s="72"/>
      <c r="X19" s="72"/>
      <c r="Y19" s="72"/>
      <c r="Z19" s="72"/>
    </row>
    <row r="20">
      <c r="A20" s="260"/>
      <c r="B20" s="275"/>
      <c r="C20" s="275"/>
      <c r="D20" s="275"/>
      <c r="E20" s="275"/>
      <c r="F20" s="281"/>
      <c r="G20" s="282"/>
      <c r="H20" s="282"/>
      <c r="I20" s="282"/>
      <c r="J20" s="282"/>
      <c r="K20" s="276"/>
      <c r="L20" s="281"/>
      <c r="M20" s="277"/>
      <c r="N20" s="283"/>
      <c r="O20" s="283"/>
      <c r="P20" s="278"/>
      <c r="Q20" s="283"/>
      <c r="R20" s="277"/>
      <c r="S20" s="278"/>
      <c r="T20" s="277"/>
      <c r="U20" s="270"/>
      <c r="V20" s="8"/>
      <c r="W20" s="8"/>
      <c r="X20" s="8"/>
      <c r="Y20" s="8"/>
      <c r="Z20" s="8"/>
    </row>
    <row r="21" ht="15.75" customHeight="1">
      <c r="A21" s="260"/>
      <c r="B21" s="275" t="str">
        <f>DPA!B38</f>
        <v>5.1.02.01.01.0024</v>
      </c>
      <c r="C21" s="275" t="str">
        <f>DPA!C38</f>
        <v>Belanja Alat/Bahan untuk Kegiatan Kantor-Alat Tulis Kantor</v>
      </c>
      <c r="D21" s="275"/>
      <c r="E21" s="275"/>
      <c r="F21" s="281"/>
      <c r="G21" s="282"/>
      <c r="H21" s="282"/>
      <c r="I21" s="282"/>
      <c r="J21" s="282"/>
      <c r="K21" s="276">
        <f>DPA!S38</f>
        <v>656000</v>
      </c>
      <c r="L21" s="277"/>
      <c r="M21" s="277">
        <f t="shared" ref="M21:M28" si="2">K21</f>
        <v>656000</v>
      </c>
      <c r="N21" s="278"/>
      <c r="O21" s="278"/>
      <c r="P21" s="278"/>
      <c r="Q21" s="278"/>
      <c r="R21" s="277"/>
      <c r="S21" s="278"/>
      <c r="T21" s="277"/>
      <c r="U21" s="270"/>
      <c r="V21" s="8"/>
      <c r="W21" s="8"/>
      <c r="X21" s="8"/>
      <c r="Y21" s="8"/>
      <c r="Z21" s="8"/>
    </row>
    <row r="22" ht="15.75" customHeight="1">
      <c r="A22" s="260"/>
      <c r="B22" s="275"/>
      <c r="C22" s="275"/>
      <c r="D22" s="284" t="str">
        <f>DPA!D39</f>
        <v>-</v>
      </c>
      <c r="E22" s="285" t="str">
        <f>DPA!E39</f>
        <v>Alat Tulis Kantor
Spesifikasi : Stof Map Folio</v>
      </c>
      <c r="F22" s="281"/>
      <c r="G22" s="282"/>
      <c r="H22" s="282"/>
      <c r="I22" s="282"/>
      <c r="J22" s="282"/>
      <c r="K22" s="276">
        <f>DPA!S39</f>
        <v>330000</v>
      </c>
      <c r="L22" s="277"/>
      <c r="M22" s="277">
        <f t="shared" si="2"/>
        <v>330000</v>
      </c>
      <c r="N22" s="278"/>
      <c r="O22" s="278"/>
      <c r="P22" s="278"/>
      <c r="Q22" s="278"/>
      <c r="R22" s="277"/>
      <c r="S22" s="278"/>
      <c r="T22" s="277"/>
      <c r="U22" s="270"/>
      <c r="V22" s="8"/>
      <c r="W22" s="8"/>
      <c r="X22" s="8"/>
      <c r="Y22" s="8"/>
      <c r="Z22" s="8"/>
    </row>
    <row r="23" ht="15.75" customHeight="1">
      <c r="A23" s="260"/>
      <c r="B23" s="275"/>
      <c r="C23" s="275"/>
      <c r="D23" s="284" t="str">
        <f>DPA!D40</f>
        <v>-</v>
      </c>
      <c r="E23" s="285" t="str">
        <f>DPA!E40</f>
        <v>Alat Tulis Kantor
Spesifikasi : Trigonal Clip No. 5 Atom</v>
      </c>
      <c r="F23" s="281"/>
      <c r="G23" s="282"/>
      <c r="H23" s="283"/>
      <c r="I23" s="282"/>
      <c r="J23" s="282"/>
      <c r="K23" s="276">
        <f>DPA!S40</f>
        <v>66000</v>
      </c>
      <c r="L23" s="281"/>
      <c r="M23" s="277">
        <f t="shared" si="2"/>
        <v>66000</v>
      </c>
      <c r="N23" s="283"/>
      <c r="O23" s="283"/>
      <c r="P23" s="283"/>
      <c r="Q23" s="283"/>
      <c r="R23" s="281"/>
      <c r="S23" s="283"/>
      <c r="T23" s="277"/>
      <c r="U23" s="270"/>
      <c r="V23" s="8"/>
      <c r="W23" s="8"/>
      <c r="X23" s="8"/>
      <c r="Y23" s="8"/>
      <c r="Z23" s="8"/>
    </row>
    <row r="24" ht="15.75" customHeight="1">
      <c r="A24" s="260"/>
      <c r="B24" s="275"/>
      <c r="C24" s="275"/>
      <c r="D24" s="284" t="str">
        <f>DPA!D41</f>
        <v>-</v>
      </c>
      <c r="E24" s="285" t="str">
        <f>DPA!E41</f>
        <v>Alat Tulis Kantor
Spesifikasi : Box File Jumbo Bantex</v>
      </c>
      <c r="F24" s="281"/>
      <c r="G24" s="272"/>
      <c r="H24" s="282"/>
      <c r="I24" s="282"/>
      <c r="J24" s="282"/>
      <c r="K24" s="276">
        <f>DPA!S41</f>
        <v>260000</v>
      </c>
      <c r="L24" s="281"/>
      <c r="M24" s="277">
        <f t="shared" si="2"/>
        <v>260000</v>
      </c>
      <c r="N24" s="283"/>
      <c r="O24" s="283"/>
      <c r="P24" s="283"/>
      <c r="Q24" s="283"/>
      <c r="R24" s="281"/>
      <c r="S24" s="283"/>
      <c r="T24" s="277"/>
      <c r="U24" s="260"/>
      <c r="V24" s="8"/>
      <c r="W24" s="8"/>
      <c r="X24" s="8"/>
      <c r="Y24" s="8"/>
      <c r="Z24" s="8"/>
    </row>
    <row r="25" ht="12.75" customHeight="1">
      <c r="A25" s="260"/>
      <c r="B25" s="275"/>
      <c r="C25" s="275"/>
      <c r="D25" s="275"/>
      <c r="E25" s="275"/>
      <c r="F25" s="281"/>
      <c r="G25" s="272"/>
      <c r="H25" s="282"/>
      <c r="I25" s="282"/>
      <c r="J25" s="282"/>
      <c r="K25" s="276" t="str">
        <f>DPA!S42</f>
        <v/>
      </c>
      <c r="L25" s="281"/>
      <c r="M25" s="277" t="str">
        <f t="shared" si="2"/>
        <v/>
      </c>
      <c r="N25" s="283"/>
      <c r="O25" s="283"/>
      <c r="P25" s="283"/>
      <c r="Q25" s="283"/>
      <c r="R25" s="281"/>
      <c r="S25" s="283"/>
      <c r="T25" s="277"/>
      <c r="U25" s="260"/>
      <c r="V25" s="8"/>
      <c r="W25" s="8"/>
      <c r="X25" s="8"/>
      <c r="Y25" s="8"/>
      <c r="Z25" s="8"/>
    </row>
    <row r="26" ht="15.75" customHeight="1">
      <c r="A26" s="260"/>
      <c r="B26" s="275" t="str">
        <f>DPA!B43</f>
        <v>5.1.02.01.01.0025</v>
      </c>
      <c r="C26" s="275" t="str">
        <f>DPA!C43</f>
        <v>Belanja Alat/Bahan untuk Kegiatan Kantor- Kertas dan Cover</v>
      </c>
      <c r="D26" s="275"/>
      <c r="E26" s="275"/>
      <c r="F26" s="281"/>
      <c r="G26" s="272"/>
      <c r="H26" s="282"/>
      <c r="I26" s="282"/>
      <c r="J26" s="282"/>
      <c r="K26" s="276">
        <f>DPA!S43</f>
        <v>441400</v>
      </c>
      <c r="L26" s="281"/>
      <c r="M26" s="277">
        <f t="shared" si="2"/>
        <v>441400</v>
      </c>
      <c r="N26" s="283"/>
      <c r="O26" s="283"/>
      <c r="P26" s="283"/>
      <c r="Q26" s="283"/>
      <c r="R26" s="281"/>
      <c r="S26" s="283"/>
      <c r="T26" s="277"/>
      <c r="U26" s="260"/>
      <c r="V26" s="8"/>
      <c r="W26" s="8"/>
      <c r="X26" s="8"/>
      <c r="Y26" s="8"/>
      <c r="Z26" s="8"/>
    </row>
    <row r="27" ht="15.75" customHeight="1">
      <c r="A27" s="260"/>
      <c r="B27" s="275"/>
      <c r="C27" s="275"/>
      <c r="D27" s="284" t="str">
        <f>DPA!D44</f>
        <v>-</v>
      </c>
      <c r="E27" s="285" t="str">
        <f>DPA!E44</f>
        <v>Kertas dan Cover
Spesifikasi : Kertas HVS A4 70 gr</v>
      </c>
      <c r="F27" s="281"/>
      <c r="G27" s="272"/>
      <c r="H27" s="282"/>
      <c r="I27" s="282"/>
      <c r="J27" s="282"/>
      <c r="K27" s="276">
        <f>DPA!S44</f>
        <v>164800</v>
      </c>
      <c r="L27" s="281"/>
      <c r="M27" s="277">
        <f t="shared" si="2"/>
        <v>164800</v>
      </c>
      <c r="N27" s="283"/>
      <c r="O27" s="283"/>
      <c r="P27" s="283"/>
      <c r="Q27" s="283"/>
      <c r="R27" s="281"/>
      <c r="S27" s="283"/>
      <c r="T27" s="277"/>
      <c r="U27" s="260"/>
      <c r="V27" s="8"/>
      <c r="W27" s="8"/>
      <c r="X27" s="8"/>
      <c r="Y27" s="8"/>
      <c r="Z27" s="8"/>
    </row>
    <row r="28" ht="15.75" customHeight="1">
      <c r="A28" s="260"/>
      <c r="B28" s="275"/>
      <c r="C28" s="275"/>
      <c r="D28" s="284" t="str">
        <f>DPA!D45</f>
        <v>-</v>
      </c>
      <c r="E28" s="285" t="str">
        <f>DPA!E45</f>
        <v>Kertas dan Cover
Spesifikasi : Kertas HVS F4 70 gr</v>
      </c>
      <c r="F28" s="281"/>
      <c r="G28" s="272"/>
      <c r="H28" s="282"/>
      <c r="I28" s="282"/>
      <c r="J28" s="282"/>
      <c r="K28" s="276">
        <f>DPA!S45</f>
        <v>276600</v>
      </c>
      <c r="L28" s="281"/>
      <c r="M28" s="277">
        <f t="shared" si="2"/>
        <v>276600</v>
      </c>
      <c r="N28" s="283"/>
      <c r="O28" s="283"/>
      <c r="P28" s="283"/>
      <c r="Q28" s="283"/>
      <c r="R28" s="281"/>
      <c r="S28" s="283"/>
      <c r="T28" s="277"/>
      <c r="U28" s="260"/>
      <c r="V28" s="8"/>
      <c r="W28" s="8"/>
      <c r="X28" s="8"/>
      <c r="Y28" s="8"/>
      <c r="Z28" s="8"/>
    </row>
    <row r="29" ht="15.75" customHeight="1">
      <c r="A29" s="260"/>
      <c r="B29" s="275"/>
      <c r="C29" s="275"/>
      <c r="D29" s="275"/>
      <c r="E29" s="275"/>
      <c r="F29" s="281"/>
      <c r="G29" s="272"/>
      <c r="H29" s="282"/>
      <c r="I29" s="282"/>
      <c r="J29" s="282"/>
      <c r="K29" s="276"/>
      <c r="L29" s="281"/>
      <c r="M29" s="277"/>
      <c r="N29" s="283"/>
      <c r="O29" s="283"/>
      <c r="P29" s="283"/>
      <c r="Q29" s="283"/>
      <c r="R29" s="281"/>
      <c r="S29" s="283"/>
      <c r="T29" s="277"/>
      <c r="U29" s="260"/>
      <c r="V29" s="8"/>
      <c r="W29" s="8"/>
      <c r="X29" s="8"/>
      <c r="Y29" s="8"/>
      <c r="Z29" s="8"/>
    </row>
    <row r="30" ht="15.75" customHeight="1">
      <c r="A30" s="260"/>
      <c r="B30" s="275" t="str">
        <f>DPA!B47</f>
        <v>5.1.02.01.01.0026</v>
      </c>
      <c r="C30" s="275" t="str">
        <f>DPA!C47</f>
        <v>Belanja Alat/Bahan untuk Kegiatan Kantor- Bahan Cetak</v>
      </c>
      <c r="D30" s="275"/>
      <c r="E30" s="275"/>
      <c r="F30" s="281"/>
      <c r="G30" s="272"/>
      <c r="H30" s="282"/>
      <c r="I30" s="282"/>
      <c r="J30" s="282"/>
      <c r="K30" s="276">
        <f>DPA!S47</f>
        <v>544000</v>
      </c>
      <c r="L30" s="281"/>
      <c r="M30" s="277">
        <f t="shared" ref="M30:M31" si="3">K30</f>
        <v>544000</v>
      </c>
      <c r="N30" s="283"/>
      <c r="O30" s="283"/>
      <c r="P30" s="283"/>
      <c r="Q30" s="283"/>
      <c r="R30" s="281"/>
      <c r="S30" s="283"/>
      <c r="T30" s="277"/>
      <c r="U30" s="260"/>
      <c r="V30" s="8"/>
      <c r="W30" s="8"/>
      <c r="X30" s="8"/>
      <c r="Y30" s="8"/>
      <c r="Z30" s="8"/>
    </row>
    <row r="31" ht="15.75" customHeight="1">
      <c r="A31" s="260"/>
      <c r="B31" s="275"/>
      <c r="C31" s="275"/>
      <c r="D31" s="284" t="str">
        <f>DPA!D48</f>
        <v>-</v>
      </c>
      <c r="E31" s="285" t="str">
        <f>DPA!E48</f>
        <v>Foto Copy
Spesifikasi : Foto copy Hitam Putih-HVS
A4/F4</v>
      </c>
      <c r="F31" s="281"/>
      <c r="G31" s="272"/>
      <c r="H31" s="282"/>
      <c r="I31" s="282"/>
      <c r="J31" s="282"/>
      <c r="K31" s="276">
        <f>DPA!S48</f>
        <v>544000</v>
      </c>
      <c r="L31" s="277"/>
      <c r="M31" s="277">
        <f t="shared" si="3"/>
        <v>544000</v>
      </c>
      <c r="N31" s="278"/>
      <c r="O31" s="278"/>
      <c r="P31" s="278"/>
      <c r="Q31" s="278"/>
      <c r="R31" s="277"/>
      <c r="S31" s="278"/>
      <c r="T31" s="277"/>
      <c r="U31" s="260"/>
      <c r="V31" s="8"/>
      <c r="W31" s="8"/>
      <c r="X31" s="8"/>
      <c r="Y31" s="8"/>
      <c r="Z31" s="8"/>
    </row>
    <row r="32" ht="15.75" customHeight="1">
      <c r="A32" s="260"/>
      <c r="B32" s="275"/>
      <c r="C32" s="275"/>
      <c r="D32" s="275"/>
      <c r="E32" s="275"/>
      <c r="F32" s="281"/>
      <c r="G32" s="272"/>
      <c r="H32" s="282"/>
      <c r="I32" s="282"/>
      <c r="J32" s="282"/>
      <c r="K32" s="276"/>
      <c r="L32" s="281"/>
      <c r="M32" s="277"/>
      <c r="N32" s="283"/>
      <c r="O32" s="283"/>
      <c r="P32" s="283"/>
      <c r="Q32" s="283"/>
      <c r="R32" s="281"/>
      <c r="S32" s="283"/>
      <c r="T32" s="277"/>
      <c r="U32" s="260"/>
      <c r="V32" s="8"/>
      <c r="W32" s="8"/>
      <c r="X32" s="8"/>
      <c r="Y32" s="8"/>
      <c r="Z32" s="8"/>
    </row>
    <row r="33" ht="15.75" customHeight="1">
      <c r="A33" s="260"/>
      <c r="B33" s="275" t="str">
        <f>DPA!B50</f>
        <v>5.1.02.01.01.0027</v>
      </c>
      <c r="C33" s="275" t="str">
        <f>DPA!C50</f>
        <v>Belanja Alat/Bahan untuk Kegiatan Kantor-Benda Pos</v>
      </c>
      <c r="D33" s="275"/>
      <c r="E33" s="275"/>
      <c r="F33" s="281"/>
      <c r="G33" s="272"/>
      <c r="H33" s="282"/>
      <c r="I33" s="282"/>
      <c r="J33" s="282"/>
      <c r="K33" s="276">
        <f>DPA!S50</f>
        <v>150000</v>
      </c>
      <c r="L33" s="281"/>
      <c r="M33" s="277">
        <f t="shared" ref="M33:M34" si="4">K33</f>
        <v>150000</v>
      </c>
      <c r="N33" s="283"/>
      <c r="O33" s="283"/>
      <c r="P33" s="283"/>
      <c r="Q33" s="283"/>
      <c r="R33" s="281"/>
      <c r="S33" s="283"/>
      <c r="T33" s="277"/>
      <c r="U33" s="260"/>
      <c r="V33" s="8"/>
      <c r="W33" s="8"/>
      <c r="X33" s="8"/>
      <c r="Y33" s="8"/>
      <c r="Z33" s="8"/>
    </row>
    <row r="34" ht="15.75" customHeight="1">
      <c r="A34" s="260"/>
      <c r="B34" s="275"/>
      <c r="C34" s="275"/>
      <c r="D34" s="284" t="str">
        <f>DPA!D51</f>
        <v>-</v>
      </c>
      <c r="E34" s="284" t="str">
        <f>DPA!E51</f>
        <v>Materai
Spesifikasi: Materai 10.000</v>
      </c>
      <c r="F34" s="281"/>
      <c r="G34" s="272"/>
      <c r="H34" s="282"/>
      <c r="I34" s="282"/>
      <c r="J34" s="282"/>
      <c r="K34" s="276">
        <f>DPA!S51</f>
        <v>150000</v>
      </c>
      <c r="L34" s="281"/>
      <c r="M34" s="277">
        <f t="shared" si="4"/>
        <v>150000</v>
      </c>
      <c r="N34" s="283"/>
      <c r="O34" s="283"/>
      <c r="P34" s="283"/>
      <c r="Q34" s="283"/>
      <c r="R34" s="281"/>
      <c r="S34" s="283"/>
      <c r="T34" s="277"/>
      <c r="U34" s="260"/>
      <c r="V34" s="8"/>
      <c r="W34" s="8"/>
      <c r="X34" s="8"/>
      <c r="Y34" s="8"/>
      <c r="Z34" s="8"/>
    </row>
    <row r="35" ht="15.75" customHeight="1">
      <c r="A35" s="274"/>
      <c r="B35" s="275"/>
      <c r="C35" s="275"/>
      <c r="D35" s="275"/>
      <c r="E35" s="275"/>
      <c r="F35" s="277"/>
      <c r="G35" s="271"/>
      <c r="H35" s="280"/>
      <c r="I35" s="280"/>
      <c r="J35" s="280"/>
      <c r="K35" s="276"/>
      <c r="L35" s="277"/>
      <c r="M35" s="277"/>
      <c r="N35" s="278"/>
      <c r="O35" s="278"/>
      <c r="P35" s="278"/>
      <c r="Q35" s="278"/>
      <c r="R35" s="277"/>
      <c r="S35" s="278"/>
      <c r="T35" s="277"/>
      <c r="U35" s="274"/>
      <c r="V35" s="72"/>
      <c r="W35" s="72"/>
      <c r="X35" s="72"/>
      <c r="Y35" s="72"/>
      <c r="Z35" s="72"/>
    </row>
    <row r="36" ht="15.75" customHeight="1">
      <c r="A36" s="260"/>
      <c r="B36" s="275" t="str">
        <f>DPA!B53</f>
        <v>5.1.02.04</v>
      </c>
      <c r="C36" s="275" t="str">
        <f>DPA!C53</f>
        <v>Belanja Perjalanan Dinas</v>
      </c>
      <c r="D36" s="275"/>
      <c r="E36" s="275"/>
      <c r="F36" s="281"/>
      <c r="G36" s="272"/>
      <c r="H36" s="282"/>
      <c r="I36" s="282"/>
      <c r="J36" s="282"/>
      <c r="K36" s="276">
        <f>DPA!S53</f>
        <v>31208000</v>
      </c>
      <c r="L36" s="277"/>
      <c r="M36" s="277">
        <f t="shared" ref="M36:M43" si="5">K36</f>
        <v>31208000</v>
      </c>
      <c r="N36" s="278"/>
      <c r="O36" s="278"/>
      <c r="P36" s="278"/>
      <c r="Q36" s="278"/>
      <c r="R36" s="277"/>
      <c r="S36" s="278"/>
      <c r="T36" s="277"/>
      <c r="U36" s="260"/>
      <c r="V36" s="8"/>
      <c r="W36" s="8"/>
      <c r="X36" s="8"/>
      <c r="Y36" s="8"/>
      <c r="Z36" s="8"/>
    </row>
    <row r="37" ht="15.75" hidden="1" customHeight="1">
      <c r="A37" s="260"/>
      <c r="B37" s="275" t="str">
        <f>DPA!B54</f>
        <v>5.1.02.04.01</v>
      </c>
      <c r="C37" s="275" t="str">
        <f>DPA!C54</f>
        <v>Belanja Perjalanan Dinas Dalam Negeri</v>
      </c>
      <c r="D37" s="275" t="str">
        <f>DPA!D54</f>
        <v/>
      </c>
      <c r="E37" s="275" t="str">
        <f>DPA!E54</f>
        <v/>
      </c>
      <c r="F37" s="281"/>
      <c r="G37" s="272"/>
      <c r="H37" s="282"/>
      <c r="I37" s="282"/>
      <c r="J37" s="282"/>
      <c r="K37" s="276">
        <f>DPA!S54</f>
        <v>31208000</v>
      </c>
      <c r="L37" s="281"/>
      <c r="M37" s="277">
        <f t="shared" si="5"/>
        <v>31208000</v>
      </c>
      <c r="N37" s="283"/>
      <c r="O37" s="283"/>
      <c r="P37" s="283"/>
      <c r="Q37" s="283"/>
      <c r="R37" s="281"/>
      <c r="S37" s="283"/>
      <c r="T37" s="277"/>
      <c r="U37" s="260"/>
      <c r="V37" s="8"/>
      <c r="W37" s="8"/>
      <c r="X37" s="8"/>
      <c r="Y37" s="8"/>
      <c r="Z37" s="8"/>
    </row>
    <row r="38" ht="15.75" hidden="1" customHeight="1">
      <c r="A38" s="260"/>
      <c r="B38" s="275" t="str">
        <f>DPA!B55</f>
        <v>5.1.02.04.01.0001</v>
      </c>
      <c r="C38" s="275" t="str">
        <f>DPA!C55</f>
        <v>Belanja Perjalanan Dinas Biasa</v>
      </c>
      <c r="D38" s="275" t="str">
        <f>DPA!D55</f>
        <v/>
      </c>
      <c r="E38" s="275" t="str">
        <f>DPA!E55</f>
        <v/>
      </c>
      <c r="F38" s="281"/>
      <c r="G38" s="272"/>
      <c r="H38" s="282"/>
      <c r="I38" s="282"/>
      <c r="J38" s="282"/>
      <c r="K38" s="276">
        <f>DPA!S55</f>
        <v>31208000</v>
      </c>
      <c r="L38" s="281"/>
      <c r="M38" s="277">
        <f t="shared" si="5"/>
        <v>31208000</v>
      </c>
      <c r="N38" s="283"/>
      <c r="O38" s="283"/>
      <c r="P38" s="283"/>
      <c r="Q38" s="283"/>
      <c r="R38" s="281"/>
      <c r="S38" s="283"/>
      <c r="T38" s="277"/>
      <c r="U38" s="260"/>
      <c r="V38" s="8"/>
      <c r="W38" s="8"/>
      <c r="X38" s="8"/>
      <c r="Y38" s="8"/>
      <c r="Z38" s="8"/>
    </row>
    <row r="39" ht="15.75" customHeight="1">
      <c r="A39" s="260"/>
      <c r="B39" s="275"/>
      <c r="C39" s="275"/>
      <c r="D39" s="284" t="str">
        <f>DPA!D56</f>
        <v>-</v>
      </c>
      <c r="E39" s="285" t="str">
        <f>DPA!E56</f>
        <v>Penginapan Dalam Negeri di- D.K.I. JAKARTA
Spesifikasi: PEJABAT ESELON III / GOLONGAN IV</v>
      </c>
      <c r="F39" s="281"/>
      <c r="G39" s="272"/>
      <c r="H39" s="282"/>
      <c r="I39" s="282"/>
      <c r="J39" s="282"/>
      <c r="K39" s="276">
        <f>DPA!S56</f>
        <v>7936000</v>
      </c>
      <c r="L39" s="281"/>
      <c r="M39" s="277">
        <f t="shared" si="5"/>
        <v>7936000</v>
      </c>
      <c r="N39" s="283"/>
      <c r="O39" s="283"/>
      <c r="P39" s="283"/>
      <c r="Q39" s="283"/>
      <c r="R39" s="281"/>
      <c r="S39" s="283"/>
      <c r="T39" s="277"/>
      <c r="U39" s="260"/>
      <c r="V39" s="8"/>
      <c r="W39" s="8"/>
      <c r="X39" s="8"/>
      <c r="Y39" s="8"/>
      <c r="Z39" s="8"/>
    </row>
    <row r="40" ht="15.75" customHeight="1">
      <c r="A40" s="274"/>
      <c r="B40" s="275"/>
      <c r="C40" s="275"/>
      <c r="D40" s="284" t="str">
        <f>DPA!D57</f>
        <v>-</v>
      </c>
      <c r="E40" s="285" t="str">
        <f>DPA!E57</f>
        <v>Taxi dari/ke Bandara - Perjalanan Dinas Dalam Negeri
Spesifikasi: BALI</v>
      </c>
      <c r="F40" s="277"/>
      <c r="G40" s="271"/>
      <c r="H40" s="280"/>
      <c r="I40" s="280"/>
      <c r="J40" s="280"/>
      <c r="K40" s="276">
        <f>DPA!S57</f>
        <v>1816000</v>
      </c>
      <c r="L40" s="277"/>
      <c r="M40" s="277">
        <f t="shared" si="5"/>
        <v>1816000</v>
      </c>
      <c r="N40" s="278"/>
      <c r="O40" s="278"/>
      <c r="P40" s="278"/>
      <c r="Q40" s="278"/>
      <c r="R40" s="277"/>
      <c r="S40" s="278"/>
      <c r="T40" s="277"/>
      <c r="U40" s="274"/>
      <c r="V40" s="72"/>
      <c r="W40" s="72"/>
      <c r="X40" s="72"/>
      <c r="Y40" s="72"/>
      <c r="Z40" s="72"/>
    </row>
    <row r="41" ht="15.75" customHeight="1">
      <c r="A41" s="260"/>
      <c r="B41" s="275"/>
      <c r="C41" s="275"/>
      <c r="D41" s="284" t="str">
        <f>DPA!D58</f>
        <v>-</v>
      </c>
      <c r="E41" s="285" t="str">
        <f>DPA!E58</f>
        <v>Taxi dari/ke Bandara - Perjalanan Dinas Dalam Negeri
Spesifikasi: D.K.I. JAKARTA</v>
      </c>
      <c r="F41" s="281"/>
      <c r="G41" s="272"/>
      <c r="H41" s="282"/>
      <c r="I41" s="282"/>
      <c r="J41" s="282"/>
      <c r="K41" s="276">
        <f>DPA!S58</f>
        <v>2048000</v>
      </c>
      <c r="L41" s="277"/>
      <c r="M41" s="277">
        <f t="shared" si="5"/>
        <v>2048000</v>
      </c>
      <c r="N41" s="278"/>
      <c r="O41" s="278"/>
      <c r="P41" s="278"/>
      <c r="Q41" s="278"/>
      <c r="R41" s="277"/>
      <c r="S41" s="278"/>
      <c r="T41" s="277"/>
      <c r="U41" s="260"/>
      <c r="V41" s="8"/>
      <c r="W41" s="8"/>
      <c r="X41" s="8"/>
      <c r="Y41" s="8"/>
      <c r="Z41" s="8"/>
    </row>
    <row r="42" ht="15.75" hidden="1" customHeight="1">
      <c r="A42" s="260"/>
      <c r="B42" s="275"/>
      <c r="C42" s="275"/>
      <c r="D42" s="284" t="str">
        <f>DPA!D59</f>
        <v>-</v>
      </c>
      <c r="E42" s="285" t="str">
        <f>DPA!E59</f>
        <v>Satuan Biaya Tiket Dalam Negeri
Spesifikasi : Denpasar - Jakarta</v>
      </c>
      <c r="F42" s="281"/>
      <c r="G42" s="272"/>
      <c r="H42" s="282"/>
      <c r="I42" s="282"/>
      <c r="J42" s="282"/>
      <c r="K42" s="276">
        <f>DPA!S59</f>
        <v>13048000</v>
      </c>
      <c r="L42" s="281"/>
      <c r="M42" s="277">
        <f t="shared" si="5"/>
        <v>13048000</v>
      </c>
      <c r="N42" s="283"/>
      <c r="O42" s="283"/>
      <c r="P42" s="283"/>
      <c r="Q42" s="283"/>
      <c r="R42" s="281"/>
      <c r="S42" s="283"/>
      <c r="T42" s="277"/>
      <c r="U42" s="260"/>
      <c r="V42" s="8"/>
      <c r="W42" s="8"/>
      <c r="X42" s="8"/>
      <c r="Y42" s="8"/>
      <c r="Z42" s="8"/>
    </row>
    <row r="43" ht="15.75" customHeight="1">
      <c r="A43" s="260"/>
      <c r="B43" s="275"/>
      <c r="C43" s="275"/>
      <c r="D43" s="284" t="str">
        <f>DPA!D60</f>
        <v>-</v>
      </c>
      <c r="E43" s="285" t="str">
        <f>DPA!E60</f>
        <v>Uang Harian Perjalanan Dinas Luar Kota/Luar Daerah
Spesifikasi: D.K.I. JAKARTA</v>
      </c>
      <c r="F43" s="281"/>
      <c r="G43" s="272"/>
      <c r="H43" s="282"/>
      <c r="I43" s="282"/>
      <c r="J43" s="282"/>
      <c r="K43" s="276">
        <f>DPA!S60</f>
        <v>6360000</v>
      </c>
      <c r="L43" s="281"/>
      <c r="M43" s="277">
        <f t="shared" si="5"/>
        <v>6360000</v>
      </c>
      <c r="N43" s="283"/>
      <c r="O43" s="283"/>
      <c r="P43" s="283"/>
      <c r="Q43" s="283"/>
      <c r="R43" s="281"/>
      <c r="S43" s="283"/>
      <c r="T43" s="277"/>
      <c r="U43" s="260"/>
      <c r="V43" s="8"/>
      <c r="W43" s="8"/>
      <c r="X43" s="8"/>
      <c r="Y43" s="8"/>
      <c r="Z43" s="8"/>
    </row>
    <row r="44" ht="15.75" customHeight="1">
      <c r="A44" s="260"/>
      <c r="B44" s="275"/>
      <c r="C44" s="275"/>
      <c r="D44" s="275"/>
      <c r="E44" s="275"/>
      <c r="F44" s="281"/>
      <c r="G44" s="272"/>
      <c r="H44" s="282"/>
      <c r="I44" s="282"/>
      <c r="J44" s="282"/>
      <c r="K44" s="276"/>
      <c r="L44" s="277"/>
      <c r="M44" s="277"/>
      <c r="N44" s="278"/>
      <c r="O44" s="278"/>
      <c r="P44" s="278"/>
      <c r="Q44" s="278"/>
      <c r="R44" s="277"/>
      <c r="S44" s="278"/>
      <c r="T44" s="277"/>
      <c r="U44" s="260"/>
      <c r="V44" s="8"/>
      <c r="W44" s="8"/>
      <c r="X44" s="8"/>
      <c r="Y44" s="8"/>
      <c r="Z44" s="8"/>
    </row>
    <row r="45" ht="15.75" hidden="1" customHeight="1">
      <c r="A45" s="260"/>
      <c r="B45" s="275" t="str">
        <f>DPA!B62</f>
        <v>5.2 </v>
      </c>
      <c r="C45" s="275" t="str">
        <f>DPA!C62</f>
        <v>Belanja Modal</v>
      </c>
      <c r="D45" s="275"/>
      <c r="E45" s="275"/>
      <c r="F45" s="281"/>
      <c r="G45" s="272"/>
      <c r="H45" s="282"/>
      <c r="I45" s="282"/>
      <c r="J45" s="282"/>
      <c r="K45" s="276">
        <f>DPA!S62</f>
        <v>61372400</v>
      </c>
      <c r="L45" s="281"/>
      <c r="M45" s="277">
        <f t="shared" ref="M45:M54" si="6">K45</f>
        <v>61372400</v>
      </c>
      <c r="N45" s="283"/>
      <c r="O45" s="283"/>
      <c r="P45" s="283"/>
      <c r="Q45" s="283"/>
      <c r="R45" s="281"/>
      <c r="S45" s="283"/>
      <c r="T45" s="277"/>
      <c r="U45" s="260"/>
      <c r="V45" s="8"/>
      <c r="W45" s="8"/>
      <c r="X45" s="8"/>
      <c r="Y45" s="8"/>
      <c r="Z45" s="8"/>
    </row>
    <row r="46" ht="15.75" hidden="1" customHeight="1">
      <c r="A46" s="260"/>
      <c r="B46" s="275" t="str">
        <f>DPA!B63</f>
        <v>5.2.02</v>
      </c>
      <c r="C46" s="275" t="str">
        <f>DPA!C63</f>
        <v>Belanja Modal Perapatan dan Mesin</v>
      </c>
      <c r="D46" s="275"/>
      <c r="E46" s="275"/>
      <c r="F46" s="281"/>
      <c r="G46" s="272"/>
      <c r="H46" s="282"/>
      <c r="I46" s="282"/>
      <c r="J46" s="282"/>
      <c r="K46" s="276">
        <f>DPA!S63</f>
        <v>61372400</v>
      </c>
      <c r="L46" s="281"/>
      <c r="M46" s="277">
        <f t="shared" si="6"/>
        <v>61372400</v>
      </c>
      <c r="N46" s="283"/>
      <c r="O46" s="283"/>
      <c r="P46" s="283"/>
      <c r="Q46" s="283"/>
      <c r="R46" s="281"/>
      <c r="S46" s="283"/>
      <c r="T46" s="277"/>
      <c r="U46" s="260"/>
      <c r="V46" s="8"/>
      <c r="W46" s="8"/>
      <c r="X46" s="8"/>
      <c r="Y46" s="8"/>
      <c r="Z46" s="8"/>
    </row>
    <row r="47" ht="15.75" hidden="1" customHeight="1">
      <c r="A47" s="260"/>
      <c r="B47" s="275" t="str">
        <f>DPA!B64</f>
        <v>5.2.02.05</v>
      </c>
      <c r="C47" s="275" t="str">
        <f>DPA!C64</f>
        <v>Belanja Modal Alat Kantor dan Rumah Tangga</v>
      </c>
      <c r="D47" s="275"/>
      <c r="E47" s="275"/>
      <c r="F47" s="281"/>
      <c r="G47" s="272"/>
      <c r="H47" s="282"/>
      <c r="I47" s="282"/>
      <c r="J47" s="282"/>
      <c r="K47" s="276">
        <f>DPA!S64</f>
        <v>61372400</v>
      </c>
      <c r="L47" s="281"/>
      <c r="M47" s="277">
        <f t="shared" si="6"/>
        <v>61372400</v>
      </c>
      <c r="N47" s="283"/>
      <c r="O47" s="283"/>
      <c r="P47" s="283"/>
      <c r="Q47" s="283"/>
      <c r="R47" s="281"/>
      <c r="S47" s="283"/>
      <c r="T47" s="277"/>
      <c r="U47" s="260"/>
      <c r="V47" s="8"/>
      <c r="W47" s="8"/>
      <c r="X47" s="8"/>
      <c r="Y47" s="8"/>
      <c r="Z47" s="8"/>
    </row>
    <row r="48" ht="15.75" hidden="1" customHeight="1">
      <c r="A48" s="260"/>
      <c r="B48" s="275" t="str">
        <f>DPA!B65</f>
        <v>5.2.02.05.001</v>
      </c>
      <c r="C48" s="275" t="str">
        <f>DPA!C65</f>
        <v>Belanja Modal Alat Kantor</v>
      </c>
      <c r="D48" s="275"/>
      <c r="E48" s="275"/>
      <c r="F48" s="281"/>
      <c r="G48" s="272"/>
      <c r="H48" s="282"/>
      <c r="I48" s="282"/>
      <c r="J48" s="282"/>
      <c r="K48" s="276">
        <f>DPA!S65</f>
        <v>34347600</v>
      </c>
      <c r="L48" s="281"/>
      <c r="M48" s="277">
        <f t="shared" si="6"/>
        <v>34347600</v>
      </c>
      <c r="N48" s="283"/>
      <c r="O48" s="283"/>
      <c r="P48" s="283"/>
      <c r="Q48" s="283"/>
      <c r="R48" s="281"/>
      <c r="S48" s="283"/>
      <c r="T48" s="277"/>
      <c r="U48" s="260"/>
      <c r="V48" s="8"/>
      <c r="W48" s="8"/>
      <c r="X48" s="8"/>
      <c r="Y48" s="8"/>
      <c r="Z48" s="8"/>
    </row>
    <row r="49" ht="15.75" hidden="1" customHeight="1">
      <c r="A49" s="260"/>
      <c r="B49" s="275" t="str">
        <f>DPA!B66</f>
        <v>5.2.02.05.001.00005</v>
      </c>
      <c r="C49" s="275" t="str">
        <f>DPA!C66</f>
        <v>Belanja Modal Alat Kantor Lainnya</v>
      </c>
      <c r="D49" s="275"/>
      <c r="E49" s="275"/>
      <c r="F49" s="281"/>
      <c r="G49" s="272"/>
      <c r="H49" s="282"/>
      <c r="I49" s="282"/>
      <c r="J49" s="282"/>
      <c r="K49" s="276">
        <f>DPA!S66</f>
        <v>34347600</v>
      </c>
      <c r="L49" s="281"/>
      <c r="M49" s="277">
        <f t="shared" si="6"/>
        <v>34347600</v>
      </c>
      <c r="N49" s="283"/>
      <c r="O49" s="283"/>
      <c r="P49" s="283"/>
      <c r="Q49" s="283"/>
      <c r="R49" s="281"/>
      <c r="S49" s="283"/>
      <c r="T49" s="277"/>
      <c r="U49" s="260"/>
      <c r="V49" s="8"/>
      <c r="W49" s="8"/>
      <c r="X49" s="8"/>
      <c r="Y49" s="8"/>
      <c r="Z49" s="8"/>
    </row>
    <row r="50" ht="15.75" hidden="1" customHeight="1">
      <c r="A50" s="260"/>
      <c r="B50" s="275" t="str">
        <f>DPA!B67</f>
        <v/>
      </c>
      <c r="C50" s="275" t="str">
        <f>DPA!C67</f>
        <v/>
      </c>
      <c r="D50" s="275"/>
      <c r="E50" s="275"/>
      <c r="F50" s="281"/>
      <c r="G50" s="272"/>
      <c r="H50" s="282"/>
      <c r="I50" s="282"/>
      <c r="J50" s="282"/>
      <c r="K50" s="276">
        <f>DPA!S67</f>
        <v>34347600</v>
      </c>
      <c r="L50" s="281"/>
      <c r="M50" s="277">
        <f t="shared" si="6"/>
        <v>34347600</v>
      </c>
      <c r="N50" s="283"/>
      <c r="O50" s="283"/>
      <c r="P50" s="283"/>
      <c r="Q50" s="283"/>
      <c r="R50" s="281"/>
      <c r="S50" s="283"/>
      <c r="T50" s="277"/>
      <c r="U50" s="260"/>
      <c r="V50" s="8"/>
      <c r="W50" s="8"/>
      <c r="X50" s="8"/>
      <c r="Y50" s="8"/>
      <c r="Z50" s="8"/>
    </row>
    <row r="51" ht="15.75" hidden="1" customHeight="1">
      <c r="A51" s="260"/>
      <c r="B51" s="275" t="str">
        <f>DPA!B68</f>
        <v/>
      </c>
      <c r="C51" s="275" t="str">
        <f>DPA!C68</f>
        <v/>
      </c>
      <c r="D51" s="275"/>
      <c r="E51" s="275"/>
      <c r="F51" s="281"/>
      <c r="G51" s="272"/>
      <c r="H51" s="282"/>
      <c r="I51" s="282"/>
      <c r="J51" s="282"/>
      <c r="K51" s="276" t="str">
        <f>DPA!S68</f>
        <v/>
      </c>
      <c r="L51" s="281"/>
      <c r="M51" s="277" t="str">
        <f t="shared" si="6"/>
        <v/>
      </c>
      <c r="N51" s="283"/>
      <c r="O51" s="283"/>
      <c r="P51" s="283"/>
      <c r="Q51" s="283"/>
      <c r="R51" s="281"/>
      <c r="S51" s="283"/>
      <c r="T51" s="277"/>
      <c r="U51" s="260"/>
      <c r="V51" s="8"/>
      <c r="W51" s="8"/>
      <c r="X51" s="8"/>
      <c r="Y51" s="8"/>
      <c r="Z51" s="8"/>
    </row>
    <row r="52" ht="15.75" hidden="1" customHeight="1">
      <c r="A52" s="260"/>
      <c r="B52" s="275" t="str">
        <f>DPA!B69</f>
        <v>5.2.02.05.002</v>
      </c>
      <c r="C52" s="275" t="str">
        <f>DPA!C69</f>
        <v>Belanja Modal Alat Rumah Tangga</v>
      </c>
      <c r="D52" s="275"/>
      <c r="E52" s="275"/>
      <c r="F52" s="281"/>
      <c r="G52" s="272"/>
      <c r="H52" s="282"/>
      <c r="I52" s="282"/>
      <c r="J52" s="282"/>
      <c r="K52" s="276">
        <f>DPA!S69</f>
        <v>27024800</v>
      </c>
      <c r="L52" s="281"/>
      <c r="M52" s="277">
        <f t="shared" si="6"/>
        <v>27024800</v>
      </c>
      <c r="N52" s="283"/>
      <c r="O52" s="283"/>
      <c r="P52" s="283"/>
      <c r="Q52" s="283"/>
      <c r="R52" s="281"/>
      <c r="S52" s="283"/>
      <c r="T52" s="277"/>
      <c r="U52" s="260"/>
      <c r="V52" s="8"/>
      <c r="W52" s="8"/>
      <c r="X52" s="8"/>
      <c r="Y52" s="8"/>
      <c r="Z52" s="8"/>
    </row>
    <row r="53" ht="15.75" customHeight="1">
      <c r="A53" s="260"/>
      <c r="B53" s="275" t="str">
        <f>DPA!B70</f>
        <v>5.2.02.05.002.000
06</v>
      </c>
      <c r="C53" s="275" t="str">
        <f>DPA!C70</f>
        <v>Belanja Modal Alat Rumah Tangga Lainnya (Home Use)</v>
      </c>
      <c r="D53" s="275"/>
      <c r="E53" s="275"/>
      <c r="F53" s="281"/>
      <c r="G53" s="272"/>
      <c r="H53" s="282"/>
      <c r="I53" s="282"/>
      <c r="J53" s="282"/>
      <c r="K53" s="276">
        <f>DPA!S70</f>
        <v>27024800</v>
      </c>
      <c r="L53" s="281"/>
      <c r="M53" s="277">
        <f t="shared" si="6"/>
        <v>27024800</v>
      </c>
      <c r="N53" s="283"/>
      <c r="O53" s="283"/>
      <c r="P53" s="283"/>
      <c r="Q53" s="283"/>
      <c r="R53" s="281"/>
      <c r="S53" s="283"/>
      <c r="T53" s="277"/>
      <c r="U53" s="260"/>
      <c r="V53" s="8"/>
      <c r="W53" s="8"/>
      <c r="X53" s="8"/>
      <c r="Y53" s="8"/>
      <c r="Z53" s="8"/>
    </row>
    <row r="54" ht="15.75" customHeight="1">
      <c r="A54" s="260"/>
      <c r="B54" s="275"/>
      <c r="C54" s="275"/>
      <c r="D54" s="284" t="str">
        <f>DPA!D71</f>
        <v>-</v>
      </c>
      <c r="E54" s="285" t="str">
        <f>DPA!E71</f>
        <v>Televisi
Spesifikasi : Smart TV 70 Inch min. UHD 4K,
Garansi Min. 1 Tahun</v>
      </c>
      <c r="F54" s="281"/>
      <c r="G54" s="272"/>
      <c r="H54" s="282"/>
      <c r="I54" s="282"/>
      <c r="J54" s="282"/>
      <c r="K54" s="276">
        <f>DPA!S71</f>
        <v>27024800</v>
      </c>
      <c r="L54" s="277"/>
      <c r="M54" s="277">
        <f t="shared" si="6"/>
        <v>27024800</v>
      </c>
      <c r="N54" s="278"/>
      <c r="O54" s="278"/>
      <c r="P54" s="278"/>
      <c r="Q54" s="278"/>
      <c r="R54" s="277"/>
      <c r="S54" s="278"/>
      <c r="T54" s="277"/>
      <c r="U54" s="260"/>
      <c r="V54" s="8"/>
      <c r="W54" s="8"/>
      <c r="X54" s="8"/>
      <c r="Y54" s="8"/>
      <c r="Z54" s="8"/>
    </row>
    <row r="55" ht="15.75" customHeight="1">
      <c r="A55" s="260"/>
      <c r="B55" s="275"/>
      <c r="C55" s="275"/>
      <c r="D55" s="275"/>
      <c r="E55" s="275"/>
      <c r="F55" s="281"/>
      <c r="G55" s="272"/>
      <c r="H55" s="282"/>
      <c r="I55" s="282"/>
      <c r="J55" s="282"/>
      <c r="K55" s="276"/>
      <c r="L55" s="281"/>
      <c r="M55" s="277"/>
      <c r="N55" s="283"/>
      <c r="O55" s="283"/>
      <c r="P55" s="283"/>
      <c r="Q55" s="283"/>
      <c r="R55" s="281"/>
      <c r="S55" s="283"/>
      <c r="T55" s="277"/>
      <c r="U55" s="260"/>
      <c r="V55" s="8"/>
      <c r="W55" s="8"/>
      <c r="X55" s="8"/>
      <c r="Y55" s="8"/>
      <c r="Z55" s="8"/>
    </row>
    <row r="56" ht="8.25" customHeight="1">
      <c r="A56" s="260"/>
      <c r="B56" s="260"/>
      <c r="C56" s="260"/>
      <c r="D56" s="260"/>
      <c r="E56" s="8"/>
      <c r="F56" s="260"/>
      <c r="G56" s="260"/>
      <c r="H56" s="260"/>
      <c r="I56" s="260"/>
      <c r="J56" s="260"/>
      <c r="K56" s="270"/>
      <c r="L56" s="270"/>
      <c r="M56" s="270"/>
      <c r="N56" s="270"/>
      <c r="O56" s="260"/>
      <c r="P56" s="270"/>
      <c r="Q56" s="270"/>
      <c r="R56" s="270"/>
      <c r="S56" s="270"/>
      <c r="T56" s="270"/>
      <c r="U56" s="260"/>
      <c r="V56" s="8"/>
      <c r="W56" s="8"/>
      <c r="X56" s="8"/>
      <c r="Y56" s="8"/>
      <c r="Z56" s="8"/>
    </row>
    <row r="57" ht="15.75" customHeight="1">
      <c r="A57" s="260"/>
      <c r="B57" s="260"/>
      <c r="C57" s="260"/>
      <c r="D57" s="260"/>
      <c r="E57" s="8"/>
      <c r="F57" s="260"/>
      <c r="G57" s="260"/>
      <c r="H57" s="260"/>
      <c r="I57" s="260"/>
      <c r="J57" s="260"/>
      <c r="K57" s="270"/>
      <c r="L57" s="270"/>
      <c r="M57" s="270"/>
      <c r="N57" s="270"/>
      <c r="O57" s="260"/>
      <c r="P57" s="270"/>
      <c r="Q57" s="270"/>
      <c r="R57" s="270"/>
      <c r="S57" s="270"/>
      <c r="T57" s="270"/>
      <c r="U57" s="260"/>
      <c r="V57" s="8"/>
      <c r="W57" s="8"/>
      <c r="X57" s="8"/>
      <c r="Y57" s="8"/>
      <c r="Z57" s="8"/>
    </row>
    <row r="58" ht="6.75" customHeight="1">
      <c r="A58" s="260"/>
      <c r="B58" s="260"/>
      <c r="C58" s="260"/>
      <c r="D58" s="260"/>
      <c r="E58" s="8"/>
      <c r="F58" s="260"/>
      <c r="G58" s="260"/>
      <c r="H58" s="260"/>
      <c r="I58" s="260"/>
      <c r="J58" s="260"/>
      <c r="K58" s="270"/>
      <c r="L58" s="270"/>
      <c r="M58" s="270"/>
      <c r="N58" s="270"/>
      <c r="O58" s="260"/>
      <c r="P58" s="270"/>
      <c r="Q58" s="270"/>
      <c r="R58" s="270"/>
      <c r="S58" s="270"/>
      <c r="T58" s="270"/>
      <c r="U58" s="260"/>
      <c r="V58" s="8"/>
      <c r="W58" s="8"/>
      <c r="X58" s="8"/>
      <c r="Y58" s="8"/>
      <c r="Z58" s="8"/>
    </row>
    <row r="59" ht="15.75" customHeight="1">
      <c r="A59" s="260"/>
      <c r="B59" s="260"/>
      <c r="C59" s="260"/>
      <c r="D59" s="260"/>
      <c r="E59" s="8"/>
      <c r="F59" s="260"/>
      <c r="G59" s="260"/>
      <c r="H59" s="260"/>
      <c r="I59" s="260"/>
      <c r="J59" s="260"/>
      <c r="K59" s="270"/>
      <c r="L59" s="270"/>
      <c r="M59" s="270"/>
      <c r="N59" s="270"/>
      <c r="O59" s="260" t="s">
        <v>114</v>
      </c>
      <c r="P59" s="270"/>
      <c r="Q59" s="270"/>
      <c r="R59" s="270"/>
      <c r="S59" s="270"/>
      <c r="T59" s="270"/>
      <c r="U59" s="260"/>
      <c r="V59" s="8"/>
      <c r="W59" s="8"/>
      <c r="X59" s="8"/>
      <c r="Y59" s="8"/>
      <c r="Z59" s="8"/>
    </row>
    <row r="60" ht="15.75" customHeight="1">
      <c r="A60" s="260"/>
      <c r="B60" s="260"/>
      <c r="C60" s="260"/>
      <c r="D60" s="260"/>
      <c r="E60" s="8"/>
      <c r="F60" s="260"/>
      <c r="G60" s="260"/>
      <c r="H60" s="260"/>
      <c r="I60" s="260"/>
      <c r="J60" s="260"/>
      <c r="K60" s="270"/>
      <c r="L60" s="270"/>
      <c r="M60" s="270"/>
      <c r="N60" s="270"/>
      <c r="O60" s="260"/>
      <c r="P60" s="270"/>
      <c r="Q60" s="270"/>
      <c r="R60" s="270"/>
      <c r="S60" s="270"/>
      <c r="T60" s="270"/>
      <c r="U60" s="260"/>
      <c r="V60" s="8"/>
      <c r="W60" s="8"/>
      <c r="X60" s="8"/>
      <c r="Y60" s="8"/>
      <c r="Z60" s="8"/>
    </row>
    <row r="61" ht="15.75" customHeight="1">
      <c r="A61" s="260"/>
      <c r="B61" s="260"/>
      <c r="C61" s="260"/>
      <c r="D61" s="260"/>
      <c r="E61" s="260" t="s">
        <v>168</v>
      </c>
      <c r="F61" s="260"/>
      <c r="G61" s="260"/>
      <c r="H61" s="260"/>
      <c r="I61" s="260"/>
      <c r="J61" s="260"/>
      <c r="K61" s="270"/>
      <c r="L61" s="270"/>
      <c r="M61" s="270"/>
      <c r="N61" s="270"/>
      <c r="O61" s="260" t="s">
        <v>217</v>
      </c>
      <c r="P61" s="270"/>
      <c r="Q61" s="270"/>
      <c r="R61" s="270"/>
      <c r="S61" s="270"/>
      <c r="T61" s="270"/>
      <c r="U61" s="260"/>
      <c r="V61" s="8"/>
      <c r="W61" s="8"/>
      <c r="X61" s="8"/>
      <c r="Y61" s="8"/>
      <c r="Z61" s="8"/>
    </row>
    <row r="62" ht="15.75" customHeight="1">
      <c r="A62" s="260"/>
      <c r="B62" s="260"/>
      <c r="C62" s="260"/>
      <c r="D62" s="260"/>
      <c r="E62" s="256" t="s">
        <v>170</v>
      </c>
      <c r="F62" s="260"/>
      <c r="G62" s="260"/>
      <c r="H62" s="260"/>
      <c r="I62" s="260"/>
      <c r="J62" s="260"/>
      <c r="K62" s="270"/>
      <c r="L62" s="270"/>
      <c r="M62" s="270"/>
      <c r="N62" s="270"/>
      <c r="O62" s="260" t="str">
        <f>DPA!N11</f>
        <v/>
      </c>
      <c r="P62" s="270"/>
      <c r="Q62" s="270"/>
      <c r="R62" s="270"/>
      <c r="S62" s="270"/>
      <c r="T62" s="270"/>
      <c r="U62" s="260"/>
      <c r="V62" s="8"/>
      <c r="W62" s="8"/>
      <c r="X62" s="8"/>
      <c r="Y62" s="8"/>
      <c r="Z62" s="8"/>
    </row>
    <row r="63" ht="15.75" customHeight="1">
      <c r="A63" s="260"/>
      <c r="B63" s="260"/>
      <c r="C63" s="260"/>
      <c r="D63" s="260"/>
      <c r="E63" s="256" t="s">
        <v>171</v>
      </c>
      <c r="F63" s="260"/>
      <c r="G63" s="260"/>
      <c r="H63" s="260"/>
      <c r="I63" s="260"/>
      <c r="J63" s="260"/>
      <c r="K63" s="270"/>
      <c r="L63" s="270"/>
      <c r="M63" s="270"/>
      <c r="N63" s="270"/>
      <c r="O63" s="260"/>
      <c r="P63" s="270"/>
      <c r="Q63" s="270"/>
      <c r="R63" s="270"/>
      <c r="S63" s="270"/>
      <c r="T63" s="270"/>
      <c r="U63" s="260"/>
      <c r="V63" s="8"/>
      <c r="W63" s="8"/>
      <c r="X63" s="8"/>
      <c r="Y63" s="8"/>
      <c r="Z63" s="8"/>
    </row>
    <row r="64" ht="15.75" customHeight="1">
      <c r="A64" s="260"/>
      <c r="B64" s="260"/>
      <c r="C64" s="260"/>
      <c r="D64" s="260"/>
      <c r="E64" s="8"/>
      <c r="F64" s="260"/>
      <c r="G64" s="260"/>
      <c r="H64" s="260"/>
      <c r="I64" s="260"/>
      <c r="J64" s="260"/>
      <c r="K64" s="270"/>
      <c r="L64" s="270"/>
      <c r="M64" s="270"/>
      <c r="N64" s="270"/>
      <c r="O64" s="260"/>
      <c r="P64" s="270"/>
      <c r="Q64" s="270"/>
      <c r="R64" s="270"/>
      <c r="S64" s="270"/>
      <c r="T64" s="270"/>
      <c r="U64" s="260"/>
      <c r="V64" s="8"/>
      <c r="W64" s="8"/>
      <c r="X64" s="8"/>
      <c r="Y64" s="8"/>
      <c r="Z64" s="8"/>
    </row>
    <row r="65" ht="15.75" customHeight="1">
      <c r="A65" s="260"/>
      <c r="B65" s="260"/>
      <c r="C65" s="260"/>
      <c r="D65" s="260"/>
      <c r="E65" s="8"/>
      <c r="F65" s="260"/>
      <c r="G65" s="260"/>
      <c r="H65" s="260"/>
      <c r="I65" s="260"/>
      <c r="J65" s="260"/>
      <c r="K65" s="270"/>
      <c r="L65" s="270"/>
      <c r="M65" s="270"/>
      <c r="N65" s="270"/>
      <c r="O65" s="260"/>
      <c r="P65" s="270"/>
      <c r="Q65" s="270"/>
      <c r="R65" s="270"/>
      <c r="S65" s="270"/>
      <c r="T65" s="270"/>
      <c r="U65" s="260"/>
      <c r="V65" s="8"/>
      <c r="W65" s="8"/>
      <c r="X65" s="8"/>
      <c r="Y65" s="8"/>
      <c r="Z65" s="8"/>
    </row>
    <row r="66" ht="15.75" customHeight="1">
      <c r="A66" s="260"/>
      <c r="B66" s="260"/>
      <c r="C66" s="260"/>
      <c r="D66" s="260"/>
      <c r="E66" s="8"/>
      <c r="F66" s="260"/>
      <c r="G66" s="260"/>
      <c r="H66" s="260"/>
      <c r="I66" s="260"/>
      <c r="J66" s="260"/>
      <c r="K66" s="270"/>
      <c r="L66" s="270"/>
      <c r="M66" s="270"/>
      <c r="N66" s="270"/>
      <c r="O66" s="260"/>
      <c r="P66" s="270"/>
      <c r="Q66" s="270"/>
      <c r="R66" s="270"/>
      <c r="S66" s="270"/>
      <c r="T66" s="270"/>
      <c r="U66" s="260"/>
      <c r="V66" s="8"/>
      <c r="W66" s="8"/>
      <c r="X66" s="8"/>
      <c r="Y66" s="8"/>
      <c r="Z66" s="8"/>
    </row>
    <row r="67" ht="15.75" customHeight="1">
      <c r="A67" s="260"/>
      <c r="B67" s="260"/>
      <c r="C67" s="260"/>
      <c r="D67" s="260"/>
      <c r="E67" s="258" t="s">
        <v>123</v>
      </c>
      <c r="F67" s="260"/>
      <c r="G67" s="260"/>
      <c r="H67" s="260"/>
      <c r="I67" s="260"/>
      <c r="J67" s="260"/>
      <c r="K67" s="270"/>
      <c r="L67" s="270"/>
      <c r="M67" s="270"/>
      <c r="N67" s="270"/>
      <c r="O67" s="286"/>
      <c r="P67" s="270"/>
      <c r="Q67" s="270"/>
      <c r="R67" s="270"/>
      <c r="S67" s="270"/>
      <c r="T67" s="270"/>
      <c r="U67" s="260"/>
      <c r="V67" s="8"/>
      <c r="W67" s="8"/>
      <c r="X67" s="8"/>
      <c r="Y67" s="8"/>
      <c r="Z67" s="8"/>
    </row>
    <row r="68" ht="15.75" customHeight="1">
      <c r="A68" s="260"/>
      <c r="B68" s="260"/>
      <c r="C68" s="260"/>
      <c r="D68" s="260"/>
      <c r="E68" s="256" t="s">
        <v>218</v>
      </c>
      <c r="F68" s="8"/>
      <c r="G68" s="260"/>
      <c r="H68" s="260"/>
      <c r="I68" s="260"/>
      <c r="J68" s="260"/>
      <c r="K68" s="270"/>
      <c r="L68" s="270"/>
      <c r="M68" s="270"/>
      <c r="N68" s="270"/>
      <c r="O68" s="260"/>
      <c r="P68" s="270"/>
      <c r="Q68" s="270"/>
      <c r="R68" s="270"/>
      <c r="S68" s="270"/>
      <c r="T68" s="270"/>
      <c r="U68" s="260"/>
      <c r="V68" s="8"/>
      <c r="W68" s="8"/>
      <c r="X68" s="8"/>
      <c r="Y68" s="8"/>
      <c r="Z68" s="8"/>
    </row>
    <row r="69" ht="15.75" customHeight="1">
      <c r="A69" s="260"/>
      <c r="B69" s="260"/>
      <c r="C69" s="260"/>
      <c r="D69" s="260"/>
      <c r="E69" s="256" t="s">
        <v>125</v>
      </c>
      <c r="F69" s="260"/>
      <c r="G69" s="260"/>
      <c r="H69" s="260"/>
      <c r="I69" s="260"/>
      <c r="J69" s="260"/>
      <c r="K69" s="270"/>
      <c r="L69" s="270"/>
      <c r="M69" s="270"/>
      <c r="N69" s="270"/>
      <c r="O69" s="260"/>
      <c r="P69" s="270"/>
      <c r="Q69" s="270"/>
      <c r="R69" s="270"/>
      <c r="S69" s="270"/>
      <c r="T69" s="270"/>
      <c r="U69" s="260"/>
      <c r="V69" s="8"/>
      <c r="W69" s="8"/>
      <c r="X69" s="8"/>
      <c r="Y69" s="8"/>
      <c r="Z69" s="8"/>
    </row>
    <row r="70" ht="15.7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8"/>
      <c r="W70" s="8"/>
      <c r="X70" s="8"/>
      <c r="Y70" s="8"/>
      <c r="Z70" s="8"/>
    </row>
    <row r="71" ht="15.7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8"/>
      <c r="W71" s="8"/>
      <c r="X71" s="8"/>
      <c r="Y71" s="8"/>
      <c r="Z71" s="8"/>
    </row>
    <row r="72" ht="15.7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8"/>
      <c r="W72" s="8"/>
      <c r="X72" s="8"/>
      <c r="Y72" s="8"/>
      <c r="Z72" s="8"/>
    </row>
    <row r="73" ht="15.7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8"/>
      <c r="W73" s="8"/>
      <c r="X73" s="8"/>
      <c r="Y73" s="8"/>
      <c r="Z73" s="8"/>
    </row>
    <row r="74" ht="15.7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8"/>
      <c r="W74" s="8"/>
      <c r="X74" s="8"/>
      <c r="Y74" s="8"/>
      <c r="Z74" s="8"/>
    </row>
    <row r="75" ht="15.7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8"/>
      <c r="W75" s="8"/>
      <c r="X75" s="8"/>
      <c r="Y75" s="8"/>
      <c r="Z75" s="8"/>
    </row>
    <row r="76" ht="15.7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70"/>
      <c r="N76" s="260"/>
      <c r="O76" s="260"/>
      <c r="P76" s="260"/>
      <c r="Q76" s="260"/>
      <c r="R76" s="260"/>
      <c r="S76" s="260"/>
      <c r="T76" s="260"/>
      <c r="U76" s="260"/>
      <c r="V76" s="8"/>
      <c r="W76" s="8"/>
      <c r="X76" s="8"/>
      <c r="Y76" s="8"/>
      <c r="Z76" s="8"/>
    </row>
    <row r="77" ht="15.7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8"/>
      <c r="W77" s="8"/>
      <c r="X77" s="8"/>
      <c r="Y77" s="8"/>
      <c r="Z77" s="8"/>
    </row>
    <row r="78" ht="15.7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8"/>
      <c r="W78" s="8"/>
      <c r="X78" s="8"/>
      <c r="Y78" s="8"/>
      <c r="Z78" s="8"/>
    </row>
    <row r="79" ht="15.7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8"/>
      <c r="W79" s="8"/>
      <c r="X79" s="8"/>
      <c r="Y79" s="8"/>
      <c r="Z79" s="8"/>
    </row>
    <row r="80" ht="15.7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8"/>
      <c r="W80" s="8"/>
      <c r="X80" s="8"/>
      <c r="Y80" s="8"/>
      <c r="Z80" s="8"/>
    </row>
    <row r="81" ht="15.7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70"/>
      <c r="M81" s="260"/>
      <c r="N81" s="260"/>
      <c r="O81" s="260"/>
      <c r="P81" s="260"/>
      <c r="Q81" s="260"/>
      <c r="R81" s="260"/>
      <c r="S81" s="260"/>
      <c r="T81" s="260"/>
      <c r="U81" s="260"/>
      <c r="V81" s="8"/>
      <c r="W81" s="8"/>
      <c r="X81" s="8"/>
      <c r="Y81" s="8"/>
      <c r="Z81" s="8"/>
    </row>
    <row r="82" ht="15.7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70"/>
      <c r="O82" s="260"/>
      <c r="P82" s="260"/>
      <c r="Q82" s="260"/>
      <c r="R82" s="260"/>
      <c r="S82" s="260"/>
      <c r="T82" s="260"/>
      <c r="U82" s="260"/>
      <c r="V82" s="8"/>
      <c r="W82" s="8"/>
      <c r="X82" s="8"/>
      <c r="Y82" s="8"/>
      <c r="Z82" s="8"/>
    </row>
    <row r="83" ht="15.7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8"/>
      <c r="W83" s="8"/>
      <c r="X83" s="8"/>
      <c r="Y83" s="8"/>
      <c r="Z83" s="8"/>
    </row>
    <row r="84" ht="15.7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8"/>
      <c r="W84" s="8"/>
      <c r="X84" s="8"/>
      <c r="Y84" s="8"/>
      <c r="Z84" s="8"/>
    </row>
    <row r="85" ht="15.7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8"/>
      <c r="W85" s="8"/>
      <c r="X85" s="8"/>
      <c r="Y85" s="8"/>
      <c r="Z85" s="8"/>
    </row>
    <row r="86" ht="15.7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8"/>
      <c r="W86" s="8"/>
      <c r="X86" s="8"/>
      <c r="Y86" s="8"/>
      <c r="Z86" s="8"/>
    </row>
    <row r="87" ht="15.7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8"/>
      <c r="W87" s="8"/>
      <c r="X87" s="8"/>
      <c r="Y87" s="8"/>
      <c r="Z87" s="8"/>
    </row>
    <row r="88" ht="15.7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8"/>
      <c r="W88" s="8"/>
      <c r="X88" s="8"/>
      <c r="Y88" s="8"/>
      <c r="Z88" s="8"/>
    </row>
    <row r="89" ht="15.7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8"/>
      <c r="W89" s="8"/>
      <c r="X89" s="8"/>
      <c r="Y89" s="8"/>
      <c r="Z89" s="8"/>
    </row>
    <row r="90" ht="15.7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8"/>
      <c r="W90" s="8"/>
      <c r="X90" s="8"/>
      <c r="Y90" s="8"/>
      <c r="Z90" s="8"/>
    </row>
    <row r="91" ht="15.7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8"/>
      <c r="W91" s="8"/>
      <c r="X91" s="8"/>
      <c r="Y91" s="8"/>
      <c r="Z91" s="8"/>
    </row>
    <row r="92" ht="15.7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8"/>
      <c r="W92" s="8"/>
      <c r="X92" s="8"/>
      <c r="Y92" s="8"/>
      <c r="Z92" s="8"/>
    </row>
    <row r="93" ht="15.7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8"/>
      <c r="W93" s="8"/>
      <c r="X93" s="8"/>
      <c r="Y93" s="8"/>
      <c r="Z93" s="8"/>
    </row>
    <row r="94" ht="15.7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8"/>
      <c r="W94" s="8"/>
      <c r="X94" s="8"/>
      <c r="Y94" s="8"/>
      <c r="Z94" s="8"/>
    </row>
    <row r="95" ht="15.7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8"/>
      <c r="W95" s="8"/>
      <c r="X95" s="8"/>
      <c r="Y95" s="8"/>
      <c r="Z95" s="8"/>
    </row>
    <row r="96" ht="15.7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8"/>
      <c r="W96" s="8"/>
      <c r="X96" s="8"/>
      <c r="Y96" s="8"/>
      <c r="Z96" s="8"/>
    </row>
    <row r="97" ht="15.7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8"/>
      <c r="W97" s="8"/>
      <c r="X97" s="8"/>
      <c r="Y97" s="8"/>
      <c r="Z97" s="8"/>
    </row>
    <row r="98" ht="15.7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8"/>
      <c r="W98" s="8"/>
      <c r="X98" s="8"/>
      <c r="Y98" s="8"/>
      <c r="Z98" s="8"/>
    </row>
    <row r="99" ht="15.7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8"/>
      <c r="W99" s="8"/>
      <c r="X99" s="8"/>
      <c r="Y99" s="8"/>
      <c r="Z99" s="8"/>
    </row>
    <row r="100" ht="15.7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8"/>
      <c r="W100" s="8"/>
      <c r="X100" s="8"/>
      <c r="Y100" s="8"/>
      <c r="Z100" s="8"/>
    </row>
    <row r="101" ht="15.7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8"/>
      <c r="W101" s="8"/>
      <c r="X101" s="8"/>
      <c r="Y101" s="8"/>
      <c r="Z101" s="8"/>
    </row>
    <row r="102" ht="15.7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8"/>
      <c r="W102" s="8"/>
      <c r="X102" s="8"/>
      <c r="Y102" s="8"/>
      <c r="Z102" s="8"/>
    </row>
    <row r="103" ht="15.7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8"/>
      <c r="W103" s="8"/>
      <c r="X103" s="8"/>
      <c r="Y103" s="8"/>
      <c r="Z103" s="8"/>
    </row>
    <row r="104" ht="15.7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8"/>
      <c r="W104" s="8"/>
      <c r="X104" s="8"/>
      <c r="Y104" s="8"/>
      <c r="Z104" s="8"/>
    </row>
    <row r="105" ht="15.7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8"/>
      <c r="W105" s="8"/>
      <c r="X105" s="8"/>
      <c r="Y105" s="8"/>
      <c r="Z105" s="8"/>
    </row>
    <row r="106" ht="15.7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8"/>
      <c r="W106" s="8"/>
      <c r="X106" s="8"/>
      <c r="Y106" s="8"/>
      <c r="Z106" s="8"/>
    </row>
    <row r="107" ht="15.7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8"/>
      <c r="W107" s="8"/>
      <c r="X107" s="8"/>
      <c r="Y107" s="8"/>
      <c r="Z107" s="8"/>
    </row>
    <row r="108" ht="15.7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8"/>
      <c r="W108" s="8"/>
      <c r="X108" s="8"/>
      <c r="Y108" s="8"/>
      <c r="Z108" s="8"/>
    </row>
    <row r="109" ht="15.7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8"/>
      <c r="W109" s="8"/>
      <c r="X109" s="8"/>
      <c r="Y109" s="8"/>
      <c r="Z109" s="8"/>
    </row>
    <row r="110" ht="15.7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8"/>
      <c r="W110" s="8"/>
      <c r="X110" s="8"/>
      <c r="Y110" s="8"/>
      <c r="Z110" s="8"/>
    </row>
    <row r="111" ht="15.7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8"/>
      <c r="W111" s="8"/>
      <c r="X111" s="8"/>
      <c r="Y111" s="8"/>
      <c r="Z111" s="8"/>
    </row>
    <row r="112" ht="15.7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8"/>
      <c r="W112" s="8"/>
      <c r="X112" s="8"/>
      <c r="Y112" s="8"/>
      <c r="Z112" s="8"/>
    </row>
    <row r="113" ht="15.7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8"/>
      <c r="W113" s="8"/>
      <c r="X113" s="8"/>
      <c r="Y113" s="8"/>
      <c r="Z113" s="8"/>
    </row>
    <row r="114" ht="15.7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8"/>
      <c r="W114" s="8"/>
      <c r="X114" s="8"/>
      <c r="Y114" s="8"/>
      <c r="Z114" s="8"/>
    </row>
    <row r="115" ht="15.7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8"/>
      <c r="W115" s="8"/>
      <c r="X115" s="8"/>
      <c r="Y115" s="8"/>
      <c r="Z115" s="8"/>
    </row>
    <row r="116" ht="15.7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8"/>
      <c r="W116" s="8"/>
      <c r="X116" s="8"/>
      <c r="Y116" s="8"/>
      <c r="Z116" s="8"/>
    </row>
    <row r="117" ht="15.7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8"/>
      <c r="W117" s="8"/>
      <c r="X117" s="8"/>
      <c r="Y117" s="8"/>
      <c r="Z117" s="8"/>
    </row>
    <row r="118" ht="15.7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8"/>
      <c r="W118" s="8"/>
      <c r="X118" s="8"/>
      <c r="Y118" s="8"/>
      <c r="Z118" s="8"/>
    </row>
    <row r="119" ht="15.7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8"/>
      <c r="W119" s="8"/>
      <c r="X119" s="8"/>
      <c r="Y119" s="8"/>
      <c r="Z119" s="8"/>
    </row>
    <row r="120" ht="15.7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8"/>
      <c r="W120" s="8"/>
      <c r="X120" s="8"/>
      <c r="Y120" s="8"/>
      <c r="Z120" s="8"/>
    </row>
    <row r="121" ht="15.7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8"/>
      <c r="W121" s="8"/>
      <c r="X121" s="8"/>
      <c r="Y121" s="8"/>
      <c r="Z121" s="8"/>
    </row>
    <row r="122" ht="15.7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8"/>
      <c r="W122" s="8"/>
      <c r="X122" s="8"/>
      <c r="Y122" s="8"/>
      <c r="Z122" s="8"/>
    </row>
    <row r="123" ht="15.7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8"/>
      <c r="W123" s="8"/>
      <c r="X123" s="8"/>
      <c r="Y123" s="8"/>
      <c r="Z123" s="8"/>
    </row>
    <row r="124" ht="15.7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8"/>
      <c r="W124" s="8"/>
      <c r="X124" s="8"/>
      <c r="Y124" s="8"/>
      <c r="Z124" s="8"/>
    </row>
    <row r="125" ht="15.7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8"/>
      <c r="W125" s="8"/>
      <c r="X125" s="8"/>
      <c r="Y125" s="8"/>
      <c r="Z125" s="8"/>
    </row>
    <row r="126" ht="15.7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8"/>
      <c r="W126" s="8"/>
      <c r="X126" s="8"/>
      <c r="Y126" s="8"/>
      <c r="Z126" s="8"/>
    </row>
    <row r="127" ht="15.7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8"/>
      <c r="W127" s="8"/>
      <c r="X127" s="8"/>
      <c r="Y127" s="8"/>
      <c r="Z127" s="8"/>
    </row>
    <row r="128" ht="15.7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8"/>
      <c r="W128" s="8"/>
      <c r="X128" s="8"/>
      <c r="Y128" s="8"/>
      <c r="Z128" s="8"/>
    </row>
    <row r="129" ht="15.7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8"/>
      <c r="W129" s="8"/>
      <c r="X129" s="8"/>
      <c r="Y129" s="8"/>
      <c r="Z129" s="8"/>
    </row>
    <row r="130" ht="15.7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8"/>
      <c r="W130" s="8"/>
      <c r="X130" s="8"/>
      <c r="Y130" s="8"/>
      <c r="Z130" s="8"/>
    </row>
    <row r="131" ht="15.7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8"/>
      <c r="W131" s="8"/>
      <c r="X131" s="8"/>
      <c r="Y131" s="8"/>
      <c r="Z131" s="8"/>
    </row>
    <row r="132" ht="15.7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8"/>
      <c r="W132" s="8"/>
      <c r="X132" s="8"/>
      <c r="Y132" s="8"/>
      <c r="Z132" s="8"/>
    </row>
    <row r="133" ht="15.7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8"/>
      <c r="W133" s="8"/>
      <c r="X133" s="8"/>
      <c r="Y133" s="8"/>
      <c r="Z133" s="8"/>
    </row>
    <row r="134" ht="15.7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8"/>
      <c r="W134" s="8"/>
      <c r="X134" s="8"/>
      <c r="Y134" s="8"/>
      <c r="Z134" s="8"/>
    </row>
    <row r="135" ht="15.7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8"/>
      <c r="W135" s="8"/>
      <c r="X135" s="8"/>
      <c r="Y135" s="8"/>
      <c r="Z135" s="8"/>
    </row>
    <row r="136" ht="15.7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8"/>
      <c r="W136" s="8"/>
      <c r="X136" s="8"/>
      <c r="Y136" s="8"/>
      <c r="Z136" s="8"/>
    </row>
    <row r="137" ht="15.7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8"/>
      <c r="W137" s="8"/>
      <c r="X137" s="8"/>
      <c r="Y137" s="8"/>
      <c r="Z137" s="8"/>
    </row>
    <row r="138" ht="15.7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8"/>
      <c r="W138" s="8"/>
      <c r="X138" s="8"/>
      <c r="Y138" s="8"/>
      <c r="Z138" s="8"/>
    </row>
    <row r="139" ht="15.7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8"/>
      <c r="W139" s="8"/>
      <c r="X139" s="8"/>
      <c r="Y139" s="8"/>
      <c r="Z139" s="8"/>
    </row>
    <row r="140" ht="15.7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8"/>
      <c r="W140" s="8"/>
      <c r="X140" s="8"/>
      <c r="Y140" s="8"/>
      <c r="Z140" s="8"/>
    </row>
    <row r="141" ht="15.7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8"/>
      <c r="W141" s="8"/>
      <c r="X141" s="8"/>
      <c r="Y141" s="8"/>
      <c r="Z141" s="8"/>
    </row>
    <row r="142" ht="15.7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8"/>
      <c r="W142" s="8"/>
      <c r="X142" s="8"/>
      <c r="Y142" s="8"/>
      <c r="Z142" s="8"/>
    </row>
    <row r="143" ht="15.7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8"/>
      <c r="W143" s="8"/>
      <c r="X143" s="8"/>
      <c r="Y143" s="8"/>
      <c r="Z143" s="8"/>
    </row>
    <row r="144" ht="15.7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8"/>
      <c r="W144" s="8"/>
      <c r="X144" s="8"/>
      <c r="Y144" s="8"/>
      <c r="Z144" s="8"/>
    </row>
    <row r="145" ht="15.7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8"/>
      <c r="W145" s="8"/>
      <c r="X145" s="8"/>
      <c r="Y145" s="8"/>
      <c r="Z145" s="8"/>
    </row>
    <row r="146" ht="15.7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8"/>
      <c r="W146" s="8"/>
      <c r="X146" s="8"/>
      <c r="Y146" s="8"/>
      <c r="Z146" s="8"/>
    </row>
    <row r="147" ht="15.7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8"/>
      <c r="W147" s="8"/>
      <c r="X147" s="8"/>
      <c r="Y147" s="8"/>
      <c r="Z147" s="8"/>
    </row>
    <row r="148" ht="15.7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8"/>
      <c r="W148" s="8"/>
      <c r="X148" s="8"/>
      <c r="Y148" s="8"/>
      <c r="Z148" s="8"/>
    </row>
    <row r="149" ht="15.7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8"/>
      <c r="W149" s="8"/>
      <c r="X149" s="8"/>
      <c r="Y149" s="8"/>
      <c r="Z149" s="8"/>
    </row>
    <row r="150" ht="15.7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8"/>
      <c r="W150" s="8"/>
      <c r="X150" s="8"/>
      <c r="Y150" s="8"/>
      <c r="Z150" s="8"/>
    </row>
    <row r="151" ht="15.7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8"/>
      <c r="W151" s="8"/>
      <c r="X151" s="8"/>
      <c r="Y151" s="8"/>
      <c r="Z151" s="8"/>
    </row>
    <row r="152" ht="15.7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8"/>
      <c r="W152" s="8"/>
      <c r="X152" s="8"/>
      <c r="Y152" s="8"/>
      <c r="Z152" s="8"/>
    </row>
    <row r="153" ht="15.7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8"/>
      <c r="W153" s="8"/>
      <c r="X153" s="8"/>
      <c r="Y153" s="8"/>
      <c r="Z153" s="8"/>
    </row>
    <row r="154" ht="15.7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8"/>
      <c r="W154" s="8"/>
      <c r="X154" s="8"/>
      <c r="Y154" s="8"/>
      <c r="Z154" s="8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8"/>
      <c r="W155" s="8"/>
      <c r="X155" s="8"/>
      <c r="Y155" s="8"/>
      <c r="Z155" s="8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8"/>
      <c r="W156" s="8"/>
      <c r="X156" s="8"/>
      <c r="Y156" s="8"/>
      <c r="Z156" s="8"/>
    </row>
    <row r="157" ht="15.7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8"/>
      <c r="W157" s="8"/>
      <c r="X157" s="8"/>
      <c r="Y157" s="8"/>
      <c r="Z157" s="8"/>
    </row>
    <row r="158" ht="15.7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8"/>
      <c r="W158" s="8"/>
      <c r="X158" s="8"/>
      <c r="Y158" s="8"/>
      <c r="Z158" s="8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8"/>
      <c r="W159" s="8"/>
      <c r="X159" s="8"/>
      <c r="Y159" s="8"/>
      <c r="Z159" s="8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8"/>
      <c r="W160" s="8"/>
      <c r="X160" s="8"/>
      <c r="Y160" s="8"/>
      <c r="Z160" s="8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8"/>
      <c r="W161" s="8"/>
      <c r="X161" s="8"/>
      <c r="Y161" s="8"/>
      <c r="Z161" s="8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8"/>
      <c r="W162" s="8"/>
      <c r="X162" s="8"/>
      <c r="Y162" s="8"/>
      <c r="Z162" s="8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8"/>
      <c r="W163" s="8"/>
      <c r="X163" s="8"/>
      <c r="Y163" s="8"/>
      <c r="Z163" s="8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8"/>
      <c r="W164" s="8"/>
      <c r="X164" s="8"/>
      <c r="Y164" s="8"/>
      <c r="Z164" s="8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8"/>
      <c r="W165" s="8"/>
      <c r="X165" s="8"/>
      <c r="Y165" s="8"/>
      <c r="Z165" s="8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8"/>
      <c r="W166" s="8"/>
      <c r="X166" s="8"/>
      <c r="Y166" s="8"/>
      <c r="Z166" s="8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8"/>
      <c r="W167" s="8"/>
      <c r="X167" s="8"/>
      <c r="Y167" s="8"/>
      <c r="Z167" s="8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8"/>
      <c r="W168" s="8"/>
      <c r="X168" s="8"/>
      <c r="Y168" s="8"/>
      <c r="Z168" s="8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8"/>
      <c r="W169" s="8"/>
      <c r="X169" s="8"/>
      <c r="Y169" s="8"/>
      <c r="Z169" s="8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8"/>
      <c r="W170" s="8"/>
      <c r="X170" s="8"/>
      <c r="Y170" s="8"/>
      <c r="Z170" s="8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8"/>
      <c r="W171" s="8"/>
      <c r="X171" s="8"/>
      <c r="Y171" s="8"/>
      <c r="Z171" s="8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8"/>
      <c r="W172" s="8"/>
      <c r="X172" s="8"/>
      <c r="Y172" s="8"/>
      <c r="Z172" s="8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8"/>
      <c r="W173" s="8"/>
      <c r="X173" s="8"/>
      <c r="Y173" s="8"/>
      <c r="Z173" s="8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8"/>
      <c r="W174" s="8"/>
      <c r="X174" s="8"/>
      <c r="Y174" s="8"/>
      <c r="Z174" s="8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8"/>
      <c r="W175" s="8"/>
      <c r="X175" s="8"/>
      <c r="Y175" s="8"/>
      <c r="Z175" s="8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8"/>
      <c r="W176" s="8"/>
      <c r="X176" s="8"/>
      <c r="Y176" s="8"/>
      <c r="Z176" s="8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8"/>
      <c r="W177" s="8"/>
      <c r="X177" s="8"/>
      <c r="Y177" s="8"/>
      <c r="Z177" s="8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8"/>
      <c r="W178" s="8"/>
      <c r="X178" s="8"/>
      <c r="Y178" s="8"/>
      <c r="Z178" s="8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8"/>
      <c r="W179" s="8"/>
      <c r="X179" s="8"/>
      <c r="Y179" s="8"/>
      <c r="Z179" s="8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8"/>
      <c r="W180" s="8"/>
      <c r="X180" s="8"/>
      <c r="Y180" s="8"/>
      <c r="Z180" s="8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8"/>
      <c r="W181" s="8"/>
      <c r="X181" s="8"/>
      <c r="Y181" s="8"/>
      <c r="Z181" s="8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8"/>
      <c r="W182" s="8"/>
      <c r="X182" s="8"/>
      <c r="Y182" s="8"/>
      <c r="Z182" s="8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8"/>
      <c r="W183" s="8"/>
      <c r="X183" s="8"/>
      <c r="Y183" s="8"/>
      <c r="Z183" s="8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8"/>
      <c r="W184" s="8"/>
      <c r="X184" s="8"/>
      <c r="Y184" s="8"/>
      <c r="Z184" s="8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8"/>
      <c r="W185" s="8"/>
      <c r="X185" s="8"/>
      <c r="Y185" s="8"/>
      <c r="Z185" s="8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8"/>
      <c r="W186" s="8"/>
      <c r="X186" s="8"/>
      <c r="Y186" s="8"/>
      <c r="Z186" s="8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8"/>
      <c r="W187" s="8"/>
      <c r="X187" s="8"/>
      <c r="Y187" s="8"/>
      <c r="Z187" s="8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8"/>
      <c r="W188" s="8"/>
      <c r="X188" s="8"/>
      <c r="Y188" s="8"/>
      <c r="Z188" s="8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8"/>
      <c r="W189" s="8"/>
      <c r="X189" s="8"/>
      <c r="Y189" s="8"/>
      <c r="Z189" s="8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8"/>
      <c r="W190" s="8"/>
      <c r="X190" s="8"/>
      <c r="Y190" s="8"/>
      <c r="Z190" s="8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8"/>
      <c r="W191" s="8"/>
      <c r="X191" s="8"/>
      <c r="Y191" s="8"/>
      <c r="Z191" s="8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8"/>
      <c r="W192" s="8"/>
      <c r="X192" s="8"/>
      <c r="Y192" s="8"/>
      <c r="Z192" s="8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8"/>
      <c r="W193" s="8"/>
      <c r="X193" s="8"/>
      <c r="Y193" s="8"/>
      <c r="Z193" s="8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8"/>
      <c r="W194" s="8"/>
      <c r="X194" s="8"/>
      <c r="Y194" s="8"/>
      <c r="Z194" s="8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8"/>
      <c r="W195" s="8"/>
      <c r="X195" s="8"/>
      <c r="Y195" s="8"/>
      <c r="Z195" s="8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8"/>
      <c r="W196" s="8"/>
      <c r="X196" s="8"/>
      <c r="Y196" s="8"/>
      <c r="Z196" s="8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8"/>
      <c r="W197" s="8"/>
      <c r="X197" s="8"/>
      <c r="Y197" s="8"/>
      <c r="Z197" s="8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8"/>
      <c r="W198" s="8"/>
      <c r="X198" s="8"/>
      <c r="Y198" s="8"/>
      <c r="Z198" s="8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8"/>
      <c r="W199" s="8"/>
      <c r="X199" s="8"/>
      <c r="Y199" s="8"/>
      <c r="Z199" s="8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8"/>
      <c r="W200" s="8"/>
      <c r="X200" s="8"/>
      <c r="Y200" s="8"/>
      <c r="Z200" s="8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8"/>
      <c r="W201" s="8"/>
      <c r="X201" s="8"/>
      <c r="Y201" s="8"/>
      <c r="Z201" s="8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8"/>
      <c r="W202" s="8"/>
      <c r="X202" s="8"/>
      <c r="Y202" s="8"/>
      <c r="Z202" s="8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8"/>
      <c r="W203" s="8"/>
      <c r="X203" s="8"/>
      <c r="Y203" s="8"/>
      <c r="Z203" s="8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8"/>
      <c r="W204" s="8"/>
      <c r="X204" s="8"/>
      <c r="Y204" s="8"/>
      <c r="Z204" s="8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8"/>
      <c r="W205" s="8"/>
      <c r="X205" s="8"/>
      <c r="Y205" s="8"/>
      <c r="Z205" s="8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8"/>
      <c r="W206" s="8"/>
      <c r="X206" s="8"/>
      <c r="Y206" s="8"/>
      <c r="Z206" s="8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8"/>
      <c r="W207" s="8"/>
      <c r="X207" s="8"/>
      <c r="Y207" s="8"/>
      <c r="Z207" s="8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8"/>
      <c r="W208" s="8"/>
      <c r="X208" s="8"/>
      <c r="Y208" s="8"/>
      <c r="Z208" s="8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8"/>
      <c r="W209" s="8"/>
      <c r="X209" s="8"/>
      <c r="Y209" s="8"/>
      <c r="Z209" s="8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8"/>
      <c r="W210" s="8"/>
      <c r="X210" s="8"/>
      <c r="Y210" s="8"/>
      <c r="Z210" s="8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8"/>
      <c r="W211" s="8"/>
      <c r="X211" s="8"/>
      <c r="Y211" s="8"/>
      <c r="Z211" s="8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8"/>
      <c r="W212" s="8"/>
      <c r="X212" s="8"/>
      <c r="Y212" s="8"/>
      <c r="Z212" s="8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8"/>
      <c r="W213" s="8"/>
      <c r="X213" s="8"/>
      <c r="Y213" s="8"/>
      <c r="Z213" s="8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8"/>
      <c r="W214" s="8"/>
      <c r="X214" s="8"/>
      <c r="Y214" s="8"/>
      <c r="Z214" s="8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8"/>
      <c r="W215" s="8"/>
      <c r="X215" s="8"/>
      <c r="Y215" s="8"/>
      <c r="Z215" s="8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8"/>
      <c r="W216" s="8"/>
      <c r="X216" s="8"/>
      <c r="Y216" s="8"/>
      <c r="Z216" s="8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8"/>
      <c r="W217" s="8"/>
      <c r="X217" s="8"/>
      <c r="Y217" s="8"/>
      <c r="Z217" s="8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8"/>
      <c r="W218" s="8"/>
      <c r="X218" s="8"/>
      <c r="Y218" s="8"/>
      <c r="Z218" s="8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8"/>
      <c r="W219" s="8"/>
      <c r="X219" s="8"/>
      <c r="Y219" s="8"/>
      <c r="Z219" s="8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8"/>
      <c r="W220" s="8"/>
      <c r="X220" s="8"/>
      <c r="Y220" s="8"/>
      <c r="Z220" s="8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8"/>
      <c r="W221" s="8"/>
      <c r="X221" s="8"/>
      <c r="Y221" s="8"/>
      <c r="Z221" s="8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8"/>
      <c r="W222" s="8"/>
      <c r="X222" s="8"/>
      <c r="Y222" s="8"/>
      <c r="Z222" s="8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8"/>
      <c r="W223" s="8"/>
      <c r="X223" s="8"/>
      <c r="Y223" s="8"/>
      <c r="Z223" s="8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8"/>
      <c r="W224" s="8"/>
      <c r="X224" s="8"/>
      <c r="Y224" s="8"/>
      <c r="Z224" s="8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8"/>
      <c r="W225" s="8"/>
      <c r="X225" s="8"/>
      <c r="Y225" s="8"/>
      <c r="Z225" s="8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8"/>
      <c r="W226" s="8"/>
      <c r="X226" s="8"/>
      <c r="Y226" s="8"/>
      <c r="Z226" s="8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8"/>
      <c r="W227" s="8"/>
      <c r="X227" s="8"/>
      <c r="Y227" s="8"/>
      <c r="Z227" s="8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8"/>
      <c r="W228" s="8"/>
      <c r="X228" s="8"/>
      <c r="Y228" s="8"/>
      <c r="Z228" s="8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8"/>
      <c r="W229" s="8"/>
      <c r="X229" s="8"/>
      <c r="Y229" s="8"/>
      <c r="Z229" s="8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8"/>
      <c r="W230" s="8"/>
      <c r="X230" s="8"/>
      <c r="Y230" s="8"/>
      <c r="Z230" s="8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8"/>
      <c r="W231" s="8"/>
      <c r="X231" s="8"/>
      <c r="Y231" s="8"/>
      <c r="Z231" s="8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8"/>
      <c r="W232" s="8"/>
      <c r="X232" s="8"/>
      <c r="Y232" s="8"/>
      <c r="Z232" s="8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8"/>
      <c r="W233" s="8"/>
      <c r="X233" s="8"/>
      <c r="Y233" s="8"/>
      <c r="Z233" s="8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8"/>
      <c r="W234" s="8"/>
      <c r="X234" s="8"/>
      <c r="Y234" s="8"/>
      <c r="Z234" s="8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8"/>
      <c r="W235" s="8"/>
      <c r="X235" s="8"/>
      <c r="Y235" s="8"/>
      <c r="Z235" s="8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8"/>
      <c r="W236" s="8"/>
      <c r="X236" s="8"/>
      <c r="Y236" s="8"/>
      <c r="Z236" s="8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8"/>
      <c r="W237" s="8"/>
      <c r="X237" s="8"/>
      <c r="Y237" s="8"/>
      <c r="Z237" s="8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8"/>
      <c r="W238" s="8"/>
      <c r="X238" s="8"/>
      <c r="Y238" s="8"/>
      <c r="Z238" s="8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8"/>
      <c r="W239" s="8"/>
      <c r="X239" s="8"/>
      <c r="Y239" s="8"/>
      <c r="Z239" s="8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8"/>
      <c r="W240" s="8"/>
      <c r="X240" s="8"/>
      <c r="Y240" s="8"/>
      <c r="Z240" s="8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8"/>
      <c r="W241" s="8"/>
      <c r="X241" s="8"/>
      <c r="Y241" s="8"/>
      <c r="Z241" s="8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8"/>
      <c r="W242" s="8"/>
      <c r="X242" s="8"/>
      <c r="Y242" s="8"/>
      <c r="Z242" s="8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8"/>
      <c r="W243" s="8"/>
      <c r="X243" s="8"/>
      <c r="Y243" s="8"/>
      <c r="Z243" s="8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8"/>
      <c r="W244" s="8"/>
      <c r="X244" s="8"/>
      <c r="Y244" s="8"/>
      <c r="Z244" s="8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8"/>
      <c r="W245" s="8"/>
      <c r="X245" s="8"/>
      <c r="Y245" s="8"/>
      <c r="Z245" s="8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8"/>
      <c r="W246" s="8"/>
      <c r="X246" s="8"/>
      <c r="Y246" s="8"/>
      <c r="Z246" s="8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8"/>
      <c r="W247" s="8"/>
      <c r="X247" s="8"/>
      <c r="Y247" s="8"/>
      <c r="Z247" s="8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8"/>
      <c r="W248" s="8"/>
      <c r="X248" s="8"/>
      <c r="Y248" s="8"/>
      <c r="Z248" s="8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8"/>
      <c r="W249" s="8"/>
      <c r="X249" s="8"/>
      <c r="Y249" s="8"/>
      <c r="Z249" s="8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8"/>
      <c r="W250" s="8"/>
      <c r="X250" s="8"/>
      <c r="Y250" s="8"/>
      <c r="Z250" s="8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8"/>
      <c r="W251" s="8"/>
      <c r="X251" s="8"/>
      <c r="Y251" s="8"/>
      <c r="Z251" s="8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8"/>
      <c r="W252" s="8"/>
      <c r="X252" s="8"/>
      <c r="Y252" s="8"/>
      <c r="Z252" s="8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8"/>
      <c r="W253" s="8"/>
      <c r="X253" s="8"/>
      <c r="Y253" s="8"/>
      <c r="Z253" s="8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8"/>
      <c r="W254" s="8"/>
      <c r="X254" s="8"/>
      <c r="Y254" s="8"/>
      <c r="Z254" s="8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8"/>
      <c r="W255" s="8"/>
      <c r="X255" s="8"/>
      <c r="Y255" s="8"/>
      <c r="Z255" s="8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8"/>
      <c r="W256" s="8"/>
      <c r="X256" s="8"/>
      <c r="Y256" s="8"/>
      <c r="Z256" s="8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8"/>
      <c r="W257" s="8"/>
      <c r="X257" s="8"/>
      <c r="Y257" s="8"/>
      <c r="Z257" s="8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8"/>
      <c r="W258" s="8"/>
      <c r="X258" s="8"/>
      <c r="Y258" s="8"/>
      <c r="Z258" s="8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8"/>
      <c r="W259" s="8"/>
      <c r="X259" s="8"/>
      <c r="Y259" s="8"/>
      <c r="Z259" s="8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8"/>
      <c r="W260" s="8"/>
      <c r="X260" s="8"/>
      <c r="Y260" s="8"/>
      <c r="Z260" s="8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8"/>
      <c r="W261" s="8"/>
      <c r="X261" s="8"/>
      <c r="Y261" s="8"/>
      <c r="Z261" s="8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8"/>
      <c r="W262" s="8"/>
      <c r="X262" s="8"/>
      <c r="Y262" s="8"/>
      <c r="Z262" s="8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8"/>
      <c r="W263" s="8"/>
      <c r="X263" s="8"/>
      <c r="Y263" s="8"/>
      <c r="Z263" s="8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8"/>
      <c r="W264" s="8"/>
      <c r="X264" s="8"/>
      <c r="Y264" s="8"/>
      <c r="Z264" s="8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8"/>
      <c r="W265" s="8"/>
      <c r="X265" s="8"/>
      <c r="Y265" s="8"/>
      <c r="Z265" s="8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8"/>
      <c r="W266" s="8"/>
      <c r="X266" s="8"/>
      <c r="Y266" s="8"/>
      <c r="Z266" s="8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480314960629921" footer="0.0" header="0.0" left="0.7086614173228347" right="1.6929133858267718" top="0.984251968503937"/>
  <pageSetup paperSize="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60"/>
      <c r="B1" s="261" t="s">
        <v>172</v>
      </c>
      <c r="U1" s="260"/>
      <c r="V1" s="8"/>
      <c r="W1" s="8"/>
      <c r="X1" s="8"/>
      <c r="Y1" s="8"/>
      <c r="Z1" s="8"/>
    </row>
    <row r="2">
      <c r="A2" s="260"/>
      <c r="B2" s="262" t="s">
        <v>173</v>
      </c>
      <c r="U2" s="260"/>
      <c r="V2" s="8"/>
      <c r="W2" s="8"/>
      <c r="X2" s="8"/>
      <c r="Y2" s="8"/>
      <c r="Z2" s="8"/>
    </row>
    <row r="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8"/>
      <c r="W3" s="8"/>
      <c r="X3" s="8"/>
      <c r="Y3" s="8"/>
      <c r="Z3" s="8"/>
    </row>
    <row r="4">
      <c r="A4" s="260"/>
      <c r="B4" s="260" t="s">
        <v>174</v>
      </c>
      <c r="C4" s="260"/>
      <c r="D4" s="260" t="s">
        <v>6</v>
      </c>
      <c r="E4" s="260"/>
      <c r="F4" s="260"/>
      <c r="G4" s="260"/>
      <c r="H4" s="260"/>
      <c r="I4" s="260"/>
      <c r="J4" s="260"/>
      <c r="K4" s="260"/>
      <c r="L4" s="260"/>
      <c r="M4" s="260" t="s">
        <v>175</v>
      </c>
      <c r="N4" s="260"/>
      <c r="O4" s="260"/>
      <c r="P4" s="260"/>
      <c r="Q4" s="260"/>
      <c r="R4" s="260"/>
      <c r="S4" s="260"/>
      <c r="T4" s="260"/>
      <c r="U4" s="260"/>
      <c r="V4" s="8"/>
      <c r="W4" s="8"/>
      <c r="X4" s="8"/>
      <c r="Y4" s="8"/>
      <c r="Z4" s="8"/>
    </row>
    <row r="5">
      <c r="A5" s="260"/>
      <c r="B5" s="260" t="s">
        <v>176</v>
      </c>
      <c r="C5" s="260"/>
      <c r="D5" s="260" t="s">
        <v>6</v>
      </c>
      <c r="E5" s="260"/>
      <c r="F5" s="260"/>
      <c r="G5" s="260"/>
      <c r="H5" s="260"/>
      <c r="I5" s="260"/>
      <c r="J5" s="260"/>
      <c r="K5" s="260"/>
      <c r="L5" s="260"/>
      <c r="M5" s="260" t="s">
        <v>177</v>
      </c>
      <c r="N5" s="260"/>
      <c r="O5" s="260"/>
      <c r="P5" s="260"/>
      <c r="Q5" s="260"/>
      <c r="R5" s="260"/>
      <c r="S5" s="260"/>
      <c r="T5" s="260"/>
      <c r="U5" s="260"/>
      <c r="V5" s="8"/>
      <c r="W5" s="8"/>
      <c r="X5" s="8"/>
      <c r="Y5" s="8"/>
      <c r="Z5" s="8"/>
    </row>
    <row r="6">
      <c r="A6" s="260"/>
      <c r="B6" s="260" t="s">
        <v>178</v>
      </c>
      <c r="C6" s="260"/>
      <c r="D6" s="260" t="s">
        <v>6</v>
      </c>
      <c r="E6" s="260"/>
      <c r="F6" s="260"/>
      <c r="G6" s="260"/>
      <c r="H6" s="260"/>
      <c r="I6" s="260"/>
      <c r="J6" s="260"/>
      <c r="K6" s="260"/>
      <c r="L6" s="260"/>
      <c r="M6" s="260" t="s">
        <v>179</v>
      </c>
      <c r="N6" s="260"/>
      <c r="O6" s="260"/>
      <c r="P6" s="260"/>
      <c r="Q6" s="260"/>
      <c r="R6" s="260"/>
      <c r="S6" s="260"/>
      <c r="T6" s="260"/>
      <c r="U6" s="260"/>
      <c r="V6" s="8"/>
      <c r="W6" s="8"/>
      <c r="X6" s="8"/>
      <c r="Y6" s="8"/>
      <c r="Z6" s="8"/>
    </row>
    <row r="7">
      <c r="A7" s="260"/>
      <c r="B7" s="260" t="s">
        <v>180</v>
      </c>
      <c r="C7" s="260"/>
      <c r="D7" s="260" t="s">
        <v>6</v>
      </c>
      <c r="E7" s="260"/>
      <c r="F7" s="260"/>
      <c r="G7" s="260"/>
      <c r="H7" s="260"/>
      <c r="I7" s="260"/>
      <c r="J7" s="260"/>
      <c r="K7" s="260"/>
      <c r="L7" s="260"/>
      <c r="M7" s="8"/>
      <c r="N7" s="260"/>
      <c r="O7" s="260"/>
      <c r="P7" s="260"/>
      <c r="Q7" s="260"/>
      <c r="R7" s="260"/>
      <c r="S7" s="263"/>
      <c r="U7" s="260"/>
      <c r="V7" s="8"/>
      <c r="W7" s="8"/>
      <c r="X7" s="8"/>
      <c r="Y7" s="8"/>
      <c r="Z7" s="8"/>
    </row>
    <row r="8">
      <c r="A8" s="260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4"/>
      <c r="U8" s="260"/>
      <c r="V8" s="8"/>
      <c r="W8" s="8"/>
      <c r="X8" s="8"/>
      <c r="Y8" s="8"/>
      <c r="Z8" s="8"/>
    </row>
    <row r="9">
      <c r="A9" s="260"/>
      <c r="B9" s="265" t="s">
        <v>181</v>
      </c>
      <c r="C9" s="266" t="s">
        <v>182</v>
      </c>
      <c r="D9" s="5"/>
      <c r="E9" s="23"/>
      <c r="F9" s="267" t="s">
        <v>183</v>
      </c>
      <c r="G9" s="37"/>
      <c r="H9" s="37"/>
      <c r="I9" s="37"/>
      <c r="J9" s="37"/>
      <c r="K9" s="38"/>
      <c r="L9" s="267" t="s">
        <v>184</v>
      </c>
      <c r="M9" s="37"/>
      <c r="N9" s="37"/>
      <c r="O9" s="37"/>
      <c r="P9" s="37"/>
      <c r="Q9" s="37"/>
      <c r="R9" s="37"/>
      <c r="S9" s="38"/>
      <c r="T9" s="265" t="s">
        <v>185</v>
      </c>
      <c r="U9" s="260"/>
      <c r="V9" s="8"/>
      <c r="W9" s="8"/>
      <c r="X9" s="8"/>
      <c r="Y9" s="8"/>
      <c r="Z9" s="8"/>
    </row>
    <row r="10">
      <c r="A10" s="260"/>
      <c r="B10" s="12"/>
      <c r="C10" s="135"/>
      <c r="E10" s="109"/>
      <c r="F10" s="268" t="s">
        <v>186</v>
      </c>
      <c r="G10" s="268" t="s">
        <v>187</v>
      </c>
      <c r="H10" s="268" t="s">
        <v>188</v>
      </c>
      <c r="I10" s="269" t="s">
        <v>189</v>
      </c>
      <c r="J10" s="23"/>
      <c r="K10" s="268" t="s">
        <v>190</v>
      </c>
      <c r="L10" s="265" t="s">
        <v>191</v>
      </c>
      <c r="M10" s="265" t="s">
        <v>192</v>
      </c>
      <c r="N10" s="267" t="s">
        <v>193</v>
      </c>
      <c r="O10" s="37"/>
      <c r="P10" s="37"/>
      <c r="Q10" s="37"/>
      <c r="R10" s="37"/>
      <c r="S10" s="38"/>
      <c r="T10" s="12"/>
      <c r="U10" s="270"/>
      <c r="V10" s="8"/>
      <c r="W10" s="8"/>
      <c r="X10" s="8"/>
      <c r="Y10" s="8"/>
      <c r="Z10" s="8"/>
    </row>
    <row r="11">
      <c r="A11" s="260"/>
      <c r="B11" s="12"/>
      <c r="C11" s="135"/>
      <c r="E11" s="109"/>
      <c r="F11" s="12"/>
      <c r="G11" s="12"/>
      <c r="H11" s="12"/>
      <c r="I11" s="135"/>
      <c r="J11" s="109"/>
      <c r="K11" s="12"/>
      <c r="L11" s="12"/>
      <c r="M11" s="12"/>
      <c r="N11" s="267" t="s">
        <v>194</v>
      </c>
      <c r="O11" s="37"/>
      <c r="P11" s="38"/>
      <c r="Q11" s="267" t="s">
        <v>195</v>
      </c>
      <c r="R11" s="37"/>
      <c r="S11" s="38"/>
      <c r="T11" s="12"/>
      <c r="U11" s="270"/>
      <c r="V11" s="8"/>
      <c r="W11" s="8"/>
      <c r="X11" s="8"/>
      <c r="Y11" s="8"/>
      <c r="Z11" s="8"/>
    </row>
    <row r="12">
      <c r="A12" s="260"/>
      <c r="B12" s="18"/>
      <c r="C12" s="49"/>
      <c r="D12" s="11"/>
      <c r="E12" s="50"/>
      <c r="F12" s="18"/>
      <c r="G12" s="18"/>
      <c r="H12" s="18"/>
      <c r="I12" s="49"/>
      <c r="J12" s="50"/>
      <c r="K12" s="18"/>
      <c r="L12" s="18"/>
      <c r="M12" s="18"/>
      <c r="N12" s="271" t="s">
        <v>196</v>
      </c>
      <c r="O12" s="271" t="s">
        <v>197</v>
      </c>
      <c r="P12" s="271" t="s">
        <v>198</v>
      </c>
      <c r="Q12" s="271" t="s">
        <v>196</v>
      </c>
      <c r="R12" s="271" t="s">
        <v>199</v>
      </c>
      <c r="S12" s="271" t="s">
        <v>200</v>
      </c>
      <c r="T12" s="18"/>
      <c r="U12" s="260"/>
      <c r="V12" s="8"/>
      <c r="W12" s="8"/>
      <c r="X12" s="8"/>
      <c r="Y12" s="8"/>
      <c r="Z12" s="8"/>
    </row>
    <row r="13">
      <c r="A13" s="260"/>
      <c r="B13" s="272" t="s">
        <v>201</v>
      </c>
      <c r="C13" s="273" t="s">
        <v>202</v>
      </c>
      <c r="D13" s="37"/>
      <c r="E13" s="38"/>
      <c r="F13" s="272" t="s">
        <v>203</v>
      </c>
      <c r="G13" s="272" t="s">
        <v>204</v>
      </c>
      <c r="H13" s="272" t="s">
        <v>205</v>
      </c>
      <c r="I13" s="273" t="s">
        <v>206</v>
      </c>
      <c r="J13" s="38"/>
      <c r="K13" s="272" t="s">
        <v>207</v>
      </c>
      <c r="L13" s="272" t="s">
        <v>208</v>
      </c>
      <c r="M13" s="272" t="s">
        <v>209</v>
      </c>
      <c r="N13" s="272" t="s">
        <v>210</v>
      </c>
      <c r="O13" s="272" t="s">
        <v>211</v>
      </c>
      <c r="P13" s="272" t="s">
        <v>212</v>
      </c>
      <c r="Q13" s="272" t="s">
        <v>213</v>
      </c>
      <c r="R13" s="272" t="s">
        <v>214</v>
      </c>
      <c r="S13" s="272" t="s">
        <v>215</v>
      </c>
      <c r="T13" s="272" t="s">
        <v>216</v>
      </c>
      <c r="U13" s="260"/>
      <c r="V13" s="8"/>
      <c r="W13" s="8"/>
      <c r="X13" s="8"/>
      <c r="Y13" s="8"/>
      <c r="Z13" s="8"/>
    </row>
    <row r="14">
      <c r="A14" s="274"/>
      <c r="B14" s="275">
        <f>DPA!B31</f>
        <v>5</v>
      </c>
      <c r="C14" s="275" t="str">
        <f>DPA!C31</f>
        <v>BELANJA DAERAH</v>
      </c>
      <c r="D14" s="275"/>
      <c r="E14" s="275"/>
      <c r="F14" s="275"/>
      <c r="G14" s="275"/>
      <c r="H14" s="275"/>
      <c r="I14" s="275"/>
      <c r="J14" s="275"/>
      <c r="K14" s="276">
        <f>DPA!S31</f>
        <v>94371800</v>
      </c>
      <c r="L14" s="277"/>
      <c r="M14" s="277">
        <f t="shared" ref="M14:M15" si="1">K14</f>
        <v>94371800</v>
      </c>
      <c r="N14" s="278"/>
      <c r="O14" s="278"/>
      <c r="P14" s="278"/>
      <c r="Q14" s="278"/>
      <c r="R14" s="277"/>
      <c r="S14" s="277"/>
      <c r="T14" s="277"/>
      <c r="U14" s="279"/>
      <c r="V14" s="72"/>
      <c r="W14" s="72"/>
      <c r="X14" s="72"/>
      <c r="Y14" s="72"/>
      <c r="Z14" s="72"/>
    </row>
    <row r="15">
      <c r="A15" s="274"/>
      <c r="B15" s="275" t="str">
        <f>DPA!B32</f>
        <v>5.1</v>
      </c>
      <c r="C15" s="275" t="str">
        <f>DPA!C32</f>
        <v>BELANJA OPERASI</v>
      </c>
      <c r="D15" s="275"/>
      <c r="E15" s="275"/>
      <c r="F15" s="277"/>
      <c r="G15" s="280"/>
      <c r="H15" s="280"/>
      <c r="I15" s="280"/>
      <c r="J15" s="280"/>
      <c r="K15" s="276">
        <f>DPA!S32</f>
        <v>32999400</v>
      </c>
      <c r="L15" s="277"/>
      <c r="M15" s="277">
        <f t="shared" si="1"/>
        <v>32999400</v>
      </c>
      <c r="N15" s="278"/>
      <c r="O15" s="278"/>
      <c r="P15" s="278"/>
      <c r="Q15" s="278"/>
      <c r="R15" s="277"/>
      <c r="S15" s="277"/>
      <c r="T15" s="277"/>
      <c r="U15" s="279"/>
      <c r="V15" s="72"/>
      <c r="W15" s="72"/>
      <c r="X15" s="72"/>
      <c r="Y15" s="72"/>
      <c r="Z15" s="72"/>
    </row>
    <row r="16">
      <c r="A16" s="274"/>
      <c r="B16" s="275"/>
      <c r="C16" s="275"/>
      <c r="D16" s="275"/>
      <c r="E16" s="275"/>
      <c r="F16" s="277"/>
      <c r="G16" s="280"/>
      <c r="H16" s="280"/>
      <c r="I16" s="280"/>
      <c r="J16" s="280"/>
      <c r="K16" s="276"/>
      <c r="L16" s="277"/>
      <c r="M16" s="277"/>
      <c r="N16" s="278"/>
      <c r="O16" s="278"/>
      <c r="P16" s="278"/>
      <c r="Q16" s="278"/>
      <c r="R16" s="277"/>
      <c r="S16" s="277"/>
      <c r="T16" s="277"/>
      <c r="U16" s="279"/>
      <c r="V16" s="72"/>
      <c r="W16" s="72"/>
      <c r="X16" s="72"/>
      <c r="Y16" s="72"/>
      <c r="Z16" s="72"/>
    </row>
    <row r="17">
      <c r="A17" s="274"/>
      <c r="B17" s="275" t="str">
        <f>DPA!B34</f>
        <v> 5.2.2.</v>
      </c>
      <c r="C17" s="275" t="str">
        <f>DPA!C34</f>
        <v> Belanja Barang dan Jasa</v>
      </c>
      <c r="D17" s="275"/>
      <c r="E17" s="275"/>
      <c r="F17" s="277"/>
      <c r="G17" s="280"/>
      <c r="H17" s="280"/>
      <c r="I17" s="280"/>
      <c r="J17" s="280"/>
      <c r="K17" s="276">
        <f>DPA!S34</f>
        <v>32999400</v>
      </c>
      <c r="L17" s="277"/>
      <c r="M17" s="277">
        <f>K17</f>
        <v>32999400</v>
      </c>
      <c r="N17" s="278"/>
      <c r="O17" s="278"/>
      <c r="P17" s="278"/>
      <c r="Q17" s="278"/>
      <c r="R17" s="185"/>
      <c r="S17" s="185"/>
      <c r="T17" s="277"/>
      <c r="U17" s="279"/>
      <c r="V17" s="72"/>
      <c r="W17" s="72"/>
      <c r="X17" s="72"/>
      <c r="Y17" s="72"/>
      <c r="Z17" s="72"/>
    </row>
    <row r="18">
      <c r="A18" s="274"/>
      <c r="B18" s="275"/>
      <c r="C18" s="275"/>
      <c r="D18" s="275"/>
      <c r="E18" s="275"/>
      <c r="F18" s="277"/>
      <c r="G18" s="280"/>
      <c r="H18" s="280"/>
      <c r="I18" s="280"/>
      <c r="J18" s="280"/>
      <c r="K18" s="276"/>
      <c r="L18" s="277"/>
      <c r="M18" s="277"/>
      <c r="N18" s="278"/>
      <c r="O18" s="278"/>
      <c r="P18" s="278"/>
      <c r="Q18" s="278"/>
      <c r="R18" s="277"/>
      <c r="S18" s="278"/>
      <c r="T18" s="277"/>
      <c r="U18" s="279"/>
      <c r="V18" s="72"/>
      <c r="W18" s="72"/>
      <c r="X18" s="72"/>
      <c r="Y18" s="72"/>
      <c r="Z18" s="72"/>
    </row>
    <row r="19">
      <c r="A19" s="274"/>
      <c r="B19" s="275" t="str">
        <f>DPA!B36</f>
        <v> 5.2.2.01</v>
      </c>
      <c r="C19" s="275" t="str">
        <f>DPA!C36</f>
        <v>Belanja Bahan Pakai Habis</v>
      </c>
      <c r="D19" s="275"/>
      <c r="E19" s="275"/>
      <c r="F19" s="277"/>
      <c r="G19" s="280"/>
      <c r="H19" s="280"/>
      <c r="I19" s="280"/>
      <c r="J19" s="280"/>
      <c r="K19" s="276">
        <f>DPA!S36</f>
        <v>1791400</v>
      </c>
      <c r="L19" s="277"/>
      <c r="M19" s="277">
        <f>K19</f>
        <v>1791400</v>
      </c>
      <c r="N19" s="278"/>
      <c r="O19" s="278"/>
      <c r="P19" s="278"/>
      <c r="Q19" s="278"/>
      <c r="R19" s="277"/>
      <c r="S19" s="278"/>
      <c r="T19" s="277"/>
      <c r="U19" s="279"/>
      <c r="V19" s="72"/>
      <c r="W19" s="72"/>
      <c r="X19" s="72"/>
      <c r="Y19" s="72"/>
      <c r="Z19" s="72"/>
    </row>
    <row r="20">
      <c r="A20" s="260"/>
      <c r="B20" s="275"/>
      <c r="C20" s="275"/>
      <c r="D20" s="275"/>
      <c r="E20" s="275"/>
      <c r="F20" s="281"/>
      <c r="G20" s="282"/>
      <c r="H20" s="282"/>
      <c r="I20" s="282"/>
      <c r="J20" s="282"/>
      <c r="K20" s="276"/>
      <c r="L20" s="281"/>
      <c r="M20" s="277"/>
      <c r="N20" s="283"/>
      <c r="O20" s="283"/>
      <c r="P20" s="278"/>
      <c r="Q20" s="283"/>
      <c r="R20" s="277"/>
      <c r="S20" s="278"/>
      <c r="T20" s="277"/>
      <c r="U20" s="270"/>
      <c r="V20" s="8"/>
      <c r="W20" s="8"/>
      <c r="X20" s="8"/>
      <c r="Y20" s="8"/>
      <c r="Z20" s="8"/>
    </row>
    <row r="21" ht="15.75" customHeight="1">
      <c r="A21" s="260"/>
      <c r="B21" s="275" t="str">
        <f>DPA!B38</f>
        <v>5.1.02.01.01.0024</v>
      </c>
      <c r="C21" s="275" t="str">
        <f>DPA!C38</f>
        <v>Belanja Alat/Bahan untuk Kegiatan Kantor-Alat Tulis Kantor</v>
      </c>
      <c r="D21" s="275"/>
      <c r="E21" s="275"/>
      <c r="F21" s="281"/>
      <c r="G21" s="282"/>
      <c r="H21" s="282"/>
      <c r="I21" s="282"/>
      <c r="J21" s="282"/>
      <c r="K21" s="276">
        <f>DPA!S38</f>
        <v>656000</v>
      </c>
      <c r="L21" s="277"/>
      <c r="M21" s="277">
        <f t="shared" ref="M21:M28" si="2">K21</f>
        <v>656000</v>
      </c>
      <c r="N21" s="278"/>
      <c r="O21" s="278"/>
      <c r="P21" s="278"/>
      <c r="Q21" s="278"/>
      <c r="R21" s="277"/>
      <c r="S21" s="278"/>
      <c r="T21" s="277"/>
      <c r="U21" s="270"/>
      <c r="V21" s="8"/>
      <c r="W21" s="8"/>
      <c r="X21" s="8"/>
      <c r="Y21" s="8"/>
      <c r="Z21" s="8"/>
    </row>
    <row r="22" ht="15.75" customHeight="1">
      <c r="A22" s="260"/>
      <c r="B22" s="275"/>
      <c r="C22" s="275"/>
      <c r="D22" s="284" t="str">
        <f>DPA!D39</f>
        <v>-</v>
      </c>
      <c r="E22" s="285" t="str">
        <f>DPA!E39</f>
        <v>Alat Tulis Kantor
Spesifikasi : Stof Map Folio</v>
      </c>
      <c r="F22" s="281"/>
      <c r="G22" s="282"/>
      <c r="H22" s="282"/>
      <c r="I22" s="282"/>
      <c r="J22" s="282"/>
      <c r="K22" s="276">
        <f>DPA!S39</f>
        <v>330000</v>
      </c>
      <c r="L22" s="277"/>
      <c r="M22" s="277">
        <f t="shared" si="2"/>
        <v>330000</v>
      </c>
      <c r="N22" s="278"/>
      <c r="O22" s="278"/>
      <c r="P22" s="278"/>
      <c r="Q22" s="278"/>
      <c r="R22" s="277"/>
      <c r="S22" s="278"/>
      <c r="T22" s="277"/>
      <c r="U22" s="270"/>
      <c r="V22" s="8"/>
      <c r="W22" s="8"/>
      <c r="X22" s="8"/>
      <c r="Y22" s="8"/>
      <c r="Z22" s="8"/>
    </row>
    <row r="23" ht="15.75" customHeight="1">
      <c r="A23" s="260"/>
      <c r="B23" s="275"/>
      <c r="C23" s="275"/>
      <c r="D23" s="284" t="str">
        <f>DPA!D40</f>
        <v>-</v>
      </c>
      <c r="E23" s="285" t="str">
        <f>DPA!E40</f>
        <v>Alat Tulis Kantor
Spesifikasi : Trigonal Clip No. 5 Atom</v>
      </c>
      <c r="F23" s="281"/>
      <c r="G23" s="282"/>
      <c r="H23" s="283"/>
      <c r="I23" s="282"/>
      <c r="J23" s="282"/>
      <c r="K23" s="276">
        <f>DPA!S40</f>
        <v>66000</v>
      </c>
      <c r="L23" s="281"/>
      <c r="M23" s="277">
        <f t="shared" si="2"/>
        <v>66000</v>
      </c>
      <c r="N23" s="283"/>
      <c r="O23" s="283"/>
      <c r="P23" s="283"/>
      <c r="Q23" s="283"/>
      <c r="R23" s="281"/>
      <c r="S23" s="283"/>
      <c r="T23" s="277"/>
      <c r="U23" s="270"/>
      <c r="V23" s="8"/>
      <c r="W23" s="8"/>
      <c r="X23" s="8"/>
      <c r="Y23" s="8"/>
      <c r="Z23" s="8"/>
    </row>
    <row r="24" ht="15.75" customHeight="1">
      <c r="A24" s="260"/>
      <c r="B24" s="275"/>
      <c r="C24" s="275"/>
      <c r="D24" s="284" t="str">
        <f>DPA!D41</f>
        <v>-</v>
      </c>
      <c r="E24" s="285" t="str">
        <f>DPA!E41</f>
        <v>Alat Tulis Kantor
Spesifikasi : Box File Jumbo Bantex</v>
      </c>
      <c r="F24" s="281"/>
      <c r="G24" s="272"/>
      <c r="H24" s="282"/>
      <c r="I24" s="282"/>
      <c r="J24" s="282"/>
      <c r="K24" s="276">
        <f>DPA!S41</f>
        <v>260000</v>
      </c>
      <c r="L24" s="281"/>
      <c r="M24" s="277">
        <f t="shared" si="2"/>
        <v>260000</v>
      </c>
      <c r="N24" s="283"/>
      <c r="O24" s="283"/>
      <c r="P24" s="283"/>
      <c r="Q24" s="283"/>
      <c r="R24" s="281"/>
      <c r="S24" s="283"/>
      <c r="T24" s="277"/>
      <c r="U24" s="260"/>
      <c r="V24" s="8"/>
      <c r="W24" s="8"/>
      <c r="X24" s="8"/>
      <c r="Y24" s="8"/>
      <c r="Z24" s="8"/>
    </row>
    <row r="25" ht="12.75" customHeight="1">
      <c r="A25" s="260"/>
      <c r="B25" s="275"/>
      <c r="C25" s="275"/>
      <c r="D25" s="275"/>
      <c r="E25" s="275"/>
      <c r="F25" s="281"/>
      <c r="G25" s="272"/>
      <c r="H25" s="282"/>
      <c r="I25" s="282"/>
      <c r="J25" s="282"/>
      <c r="K25" s="276" t="str">
        <f>DPA!S42</f>
        <v/>
      </c>
      <c r="L25" s="281"/>
      <c r="M25" s="277" t="str">
        <f t="shared" si="2"/>
        <v/>
      </c>
      <c r="N25" s="283"/>
      <c r="O25" s="283"/>
      <c r="P25" s="283"/>
      <c r="Q25" s="283"/>
      <c r="R25" s="281"/>
      <c r="S25" s="283"/>
      <c r="T25" s="277"/>
      <c r="U25" s="260"/>
      <c r="V25" s="8"/>
      <c r="W25" s="8"/>
      <c r="X25" s="8"/>
      <c r="Y25" s="8"/>
      <c r="Z25" s="8"/>
    </row>
    <row r="26" ht="15.75" customHeight="1">
      <c r="A26" s="260"/>
      <c r="B26" s="275" t="str">
        <f>DPA!B43</f>
        <v>5.1.02.01.01.0025</v>
      </c>
      <c r="C26" s="275" t="str">
        <f>DPA!C43</f>
        <v>Belanja Alat/Bahan untuk Kegiatan Kantor- Kertas dan Cover</v>
      </c>
      <c r="D26" s="275"/>
      <c r="E26" s="275"/>
      <c r="F26" s="281"/>
      <c r="G26" s="272"/>
      <c r="H26" s="282"/>
      <c r="I26" s="282"/>
      <c r="J26" s="282"/>
      <c r="K26" s="276">
        <f>DPA!S43</f>
        <v>441400</v>
      </c>
      <c r="L26" s="281"/>
      <c r="M26" s="277">
        <f t="shared" si="2"/>
        <v>441400</v>
      </c>
      <c r="N26" s="283"/>
      <c r="O26" s="283"/>
      <c r="P26" s="283"/>
      <c r="Q26" s="283"/>
      <c r="R26" s="281"/>
      <c r="S26" s="283"/>
      <c r="T26" s="277"/>
      <c r="U26" s="260"/>
      <c r="V26" s="8"/>
      <c r="W26" s="8"/>
      <c r="X26" s="8"/>
      <c r="Y26" s="8"/>
      <c r="Z26" s="8"/>
    </row>
    <row r="27" ht="15.75" customHeight="1">
      <c r="A27" s="260"/>
      <c r="B27" s="275"/>
      <c r="C27" s="275"/>
      <c r="D27" s="284" t="str">
        <f>DPA!D44</f>
        <v>-</v>
      </c>
      <c r="E27" s="285" t="str">
        <f>DPA!E44</f>
        <v>Kertas dan Cover
Spesifikasi : Kertas HVS A4 70 gr</v>
      </c>
      <c r="F27" s="281"/>
      <c r="G27" s="272"/>
      <c r="H27" s="282"/>
      <c r="I27" s="282"/>
      <c r="J27" s="282"/>
      <c r="K27" s="276">
        <f>DPA!S44</f>
        <v>164800</v>
      </c>
      <c r="L27" s="281"/>
      <c r="M27" s="277">
        <f t="shared" si="2"/>
        <v>164800</v>
      </c>
      <c r="N27" s="283"/>
      <c r="O27" s="283"/>
      <c r="P27" s="283"/>
      <c r="Q27" s="283"/>
      <c r="R27" s="281"/>
      <c r="S27" s="283"/>
      <c r="T27" s="277"/>
      <c r="U27" s="260"/>
      <c r="V27" s="8"/>
      <c r="W27" s="8"/>
      <c r="X27" s="8"/>
      <c r="Y27" s="8"/>
      <c r="Z27" s="8"/>
    </row>
    <row r="28" ht="15.75" customHeight="1">
      <c r="A28" s="260"/>
      <c r="B28" s="275"/>
      <c r="C28" s="275"/>
      <c r="D28" s="284" t="str">
        <f>DPA!D45</f>
        <v>-</v>
      </c>
      <c r="E28" s="285" t="str">
        <f>DPA!E45</f>
        <v>Kertas dan Cover
Spesifikasi : Kertas HVS F4 70 gr</v>
      </c>
      <c r="F28" s="281"/>
      <c r="G28" s="272"/>
      <c r="H28" s="282"/>
      <c r="I28" s="282"/>
      <c r="J28" s="282"/>
      <c r="K28" s="276">
        <f>DPA!S45</f>
        <v>276600</v>
      </c>
      <c r="L28" s="281"/>
      <c r="M28" s="277">
        <f t="shared" si="2"/>
        <v>276600</v>
      </c>
      <c r="N28" s="283"/>
      <c r="O28" s="283"/>
      <c r="P28" s="283"/>
      <c r="Q28" s="283"/>
      <c r="R28" s="281"/>
      <c r="S28" s="283"/>
      <c r="T28" s="277"/>
      <c r="U28" s="260"/>
      <c r="V28" s="8"/>
      <c r="W28" s="8"/>
      <c r="X28" s="8"/>
      <c r="Y28" s="8"/>
      <c r="Z28" s="8"/>
    </row>
    <row r="29" ht="15.75" customHeight="1">
      <c r="A29" s="260"/>
      <c r="B29" s="275"/>
      <c r="C29" s="275"/>
      <c r="D29" s="275"/>
      <c r="E29" s="275"/>
      <c r="F29" s="281"/>
      <c r="G29" s="272"/>
      <c r="H29" s="282"/>
      <c r="I29" s="282"/>
      <c r="J29" s="282"/>
      <c r="K29" s="276"/>
      <c r="L29" s="281"/>
      <c r="M29" s="277"/>
      <c r="N29" s="283"/>
      <c r="O29" s="283"/>
      <c r="P29" s="283"/>
      <c r="Q29" s="283"/>
      <c r="R29" s="281"/>
      <c r="S29" s="283"/>
      <c r="T29" s="277"/>
      <c r="U29" s="260"/>
      <c r="V29" s="8"/>
      <c r="W29" s="8"/>
      <c r="X29" s="8"/>
      <c r="Y29" s="8"/>
      <c r="Z29" s="8"/>
    </row>
    <row r="30" ht="15.75" customHeight="1">
      <c r="A30" s="260"/>
      <c r="B30" s="275" t="str">
        <f>DPA!B47</f>
        <v>5.1.02.01.01.0026</v>
      </c>
      <c r="C30" s="275" t="str">
        <f>DPA!C47</f>
        <v>Belanja Alat/Bahan untuk Kegiatan Kantor- Bahan Cetak</v>
      </c>
      <c r="D30" s="275"/>
      <c r="E30" s="275"/>
      <c r="F30" s="281"/>
      <c r="G30" s="272"/>
      <c r="H30" s="282"/>
      <c r="I30" s="282"/>
      <c r="J30" s="282"/>
      <c r="K30" s="276">
        <f>DPA!S47</f>
        <v>544000</v>
      </c>
      <c r="L30" s="281"/>
      <c r="M30" s="277">
        <f t="shared" ref="M30:M31" si="3">K30</f>
        <v>544000</v>
      </c>
      <c r="N30" s="283"/>
      <c r="O30" s="283"/>
      <c r="P30" s="283"/>
      <c r="Q30" s="283"/>
      <c r="R30" s="281"/>
      <c r="S30" s="283"/>
      <c r="T30" s="277"/>
      <c r="U30" s="260"/>
      <c r="V30" s="8"/>
      <c r="W30" s="8"/>
      <c r="X30" s="8"/>
      <c r="Y30" s="8"/>
      <c r="Z30" s="8"/>
    </row>
    <row r="31" ht="15.75" customHeight="1">
      <c r="A31" s="260"/>
      <c r="B31" s="275"/>
      <c r="C31" s="275"/>
      <c r="D31" s="284" t="str">
        <f>DPA!D48</f>
        <v>-</v>
      </c>
      <c r="E31" s="285" t="str">
        <f>DPA!E48</f>
        <v>Foto Copy
Spesifikasi : Foto copy Hitam Putih-HVS
A4/F4</v>
      </c>
      <c r="F31" s="281"/>
      <c r="G31" s="272"/>
      <c r="H31" s="282"/>
      <c r="I31" s="282"/>
      <c r="J31" s="282"/>
      <c r="K31" s="276">
        <f>DPA!S48</f>
        <v>544000</v>
      </c>
      <c r="L31" s="277"/>
      <c r="M31" s="277">
        <f t="shared" si="3"/>
        <v>544000</v>
      </c>
      <c r="N31" s="278"/>
      <c r="O31" s="278"/>
      <c r="P31" s="278"/>
      <c r="Q31" s="278"/>
      <c r="R31" s="277"/>
      <c r="S31" s="278"/>
      <c r="T31" s="277"/>
      <c r="U31" s="260"/>
      <c r="V31" s="8"/>
      <c r="W31" s="8"/>
      <c r="X31" s="8"/>
      <c r="Y31" s="8"/>
      <c r="Z31" s="8"/>
    </row>
    <row r="32" ht="15.75" customHeight="1">
      <c r="A32" s="260"/>
      <c r="B32" s="275"/>
      <c r="C32" s="275"/>
      <c r="D32" s="275"/>
      <c r="E32" s="275"/>
      <c r="F32" s="281"/>
      <c r="G32" s="272"/>
      <c r="H32" s="282"/>
      <c r="I32" s="282"/>
      <c r="J32" s="282"/>
      <c r="K32" s="276"/>
      <c r="L32" s="281"/>
      <c r="M32" s="277"/>
      <c r="N32" s="283"/>
      <c r="O32" s="283"/>
      <c r="P32" s="283"/>
      <c r="Q32" s="283"/>
      <c r="R32" s="281"/>
      <c r="S32" s="283"/>
      <c r="T32" s="277"/>
      <c r="U32" s="260"/>
      <c r="V32" s="8"/>
      <c r="W32" s="8"/>
      <c r="X32" s="8"/>
      <c r="Y32" s="8"/>
      <c r="Z32" s="8"/>
    </row>
    <row r="33" ht="15.75" customHeight="1">
      <c r="A33" s="260"/>
      <c r="B33" s="275" t="str">
        <f>DPA!B50</f>
        <v>5.1.02.01.01.0027</v>
      </c>
      <c r="C33" s="275" t="str">
        <f>DPA!C50</f>
        <v>Belanja Alat/Bahan untuk Kegiatan Kantor-Benda Pos</v>
      </c>
      <c r="D33" s="275"/>
      <c r="E33" s="275"/>
      <c r="F33" s="281"/>
      <c r="G33" s="272"/>
      <c r="H33" s="282"/>
      <c r="I33" s="282"/>
      <c r="J33" s="282"/>
      <c r="K33" s="276">
        <f>DPA!S50</f>
        <v>150000</v>
      </c>
      <c r="L33" s="281"/>
      <c r="M33" s="277">
        <f t="shared" ref="M33:M34" si="4">K33</f>
        <v>150000</v>
      </c>
      <c r="N33" s="283"/>
      <c r="O33" s="283"/>
      <c r="P33" s="283"/>
      <c r="Q33" s="283"/>
      <c r="R33" s="281"/>
      <c r="S33" s="283"/>
      <c r="T33" s="277"/>
      <c r="U33" s="260"/>
      <c r="V33" s="8"/>
      <c r="W33" s="8"/>
      <c r="X33" s="8"/>
      <c r="Y33" s="8"/>
      <c r="Z33" s="8"/>
    </row>
    <row r="34" ht="15.75" customHeight="1">
      <c r="A34" s="260"/>
      <c r="B34" s="275"/>
      <c r="C34" s="275"/>
      <c r="D34" s="284" t="str">
        <f>DPA!D51</f>
        <v>-</v>
      </c>
      <c r="E34" s="284" t="str">
        <f>DPA!E51</f>
        <v>Materai
Spesifikasi: Materai 10.000</v>
      </c>
      <c r="F34" s="281"/>
      <c r="G34" s="272"/>
      <c r="H34" s="282"/>
      <c r="I34" s="282"/>
      <c r="J34" s="282"/>
      <c r="K34" s="276">
        <f>DPA!S51</f>
        <v>150000</v>
      </c>
      <c r="L34" s="281"/>
      <c r="M34" s="277">
        <f t="shared" si="4"/>
        <v>150000</v>
      </c>
      <c r="N34" s="283"/>
      <c r="O34" s="283"/>
      <c r="P34" s="283"/>
      <c r="Q34" s="283"/>
      <c r="R34" s="281"/>
      <c r="S34" s="283"/>
      <c r="T34" s="277"/>
      <c r="U34" s="260"/>
      <c r="V34" s="8"/>
      <c r="W34" s="8"/>
      <c r="X34" s="8"/>
      <c r="Y34" s="8"/>
      <c r="Z34" s="8"/>
    </row>
    <row r="35" ht="15.75" customHeight="1">
      <c r="A35" s="274"/>
      <c r="B35" s="275"/>
      <c r="C35" s="275"/>
      <c r="D35" s="275"/>
      <c r="E35" s="275"/>
      <c r="F35" s="277"/>
      <c r="G35" s="271"/>
      <c r="H35" s="280"/>
      <c r="I35" s="280"/>
      <c r="J35" s="280"/>
      <c r="K35" s="276"/>
      <c r="L35" s="277"/>
      <c r="M35" s="277"/>
      <c r="N35" s="278"/>
      <c r="O35" s="278"/>
      <c r="P35" s="278"/>
      <c r="Q35" s="278"/>
      <c r="R35" s="277"/>
      <c r="S35" s="278"/>
      <c r="T35" s="277"/>
      <c r="U35" s="274"/>
      <c r="V35" s="72"/>
      <c r="W35" s="72"/>
      <c r="X35" s="72"/>
      <c r="Y35" s="72"/>
      <c r="Z35" s="72"/>
    </row>
    <row r="36" ht="15.75" customHeight="1">
      <c r="A36" s="260"/>
      <c r="B36" s="275" t="str">
        <f>DPA!B53</f>
        <v>5.1.02.04</v>
      </c>
      <c r="C36" s="275" t="str">
        <f>DPA!C53</f>
        <v>Belanja Perjalanan Dinas</v>
      </c>
      <c r="D36" s="275"/>
      <c r="E36" s="275"/>
      <c r="F36" s="281"/>
      <c r="G36" s="272"/>
      <c r="H36" s="282"/>
      <c r="I36" s="282"/>
      <c r="J36" s="282"/>
      <c r="K36" s="276">
        <f>DPA!S53</f>
        <v>31208000</v>
      </c>
      <c r="L36" s="277"/>
      <c r="M36" s="277">
        <f t="shared" ref="M36:M43" si="5">K36</f>
        <v>31208000</v>
      </c>
      <c r="N36" s="278"/>
      <c r="O36" s="278"/>
      <c r="P36" s="278"/>
      <c r="Q36" s="278"/>
      <c r="R36" s="277"/>
      <c r="S36" s="278"/>
      <c r="T36" s="277"/>
      <c r="U36" s="260"/>
      <c r="V36" s="8"/>
      <c r="W36" s="8"/>
      <c r="X36" s="8"/>
      <c r="Y36" s="8"/>
      <c r="Z36" s="8"/>
    </row>
    <row r="37" ht="15.75" hidden="1" customHeight="1">
      <c r="A37" s="260"/>
      <c r="B37" s="275" t="str">
        <f>DPA!B54</f>
        <v>5.1.02.04.01</v>
      </c>
      <c r="C37" s="275" t="str">
        <f>DPA!C54</f>
        <v>Belanja Perjalanan Dinas Dalam Negeri</v>
      </c>
      <c r="D37" s="275" t="str">
        <f>DPA!D54</f>
        <v/>
      </c>
      <c r="E37" s="275" t="str">
        <f>DPA!E54</f>
        <v/>
      </c>
      <c r="F37" s="281"/>
      <c r="G37" s="272"/>
      <c r="H37" s="282"/>
      <c r="I37" s="282"/>
      <c r="J37" s="282"/>
      <c r="K37" s="276">
        <f>DPA!S54</f>
        <v>31208000</v>
      </c>
      <c r="L37" s="281"/>
      <c r="M37" s="277">
        <f t="shared" si="5"/>
        <v>31208000</v>
      </c>
      <c r="N37" s="283"/>
      <c r="O37" s="283"/>
      <c r="P37" s="283"/>
      <c r="Q37" s="283"/>
      <c r="R37" s="281"/>
      <c r="S37" s="283"/>
      <c r="T37" s="277"/>
      <c r="U37" s="260"/>
      <c r="V37" s="8"/>
      <c r="W37" s="8"/>
      <c r="X37" s="8"/>
      <c r="Y37" s="8"/>
      <c r="Z37" s="8"/>
    </row>
    <row r="38" ht="15.75" hidden="1" customHeight="1">
      <c r="A38" s="260"/>
      <c r="B38" s="275" t="str">
        <f>DPA!B55</f>
        <v>5.1.02.04.01.0001</v>
      </c>
      <c r="C38" s="275" t="str">
        <f>DPA!C55</f>
        <v>Belanja Perjalanan Dinas Biasa</v>
      </c>
      <c r="D38" s="275" t="str">
        <f>DPA!D55</f>
        <v/>
      </c>
      <c r="E38" s="275" t="str">
        <f>DPA!E55</f>
        <v/>
      </c>
      <c r="F38" s="281"/>
      <c r="G38" s="272"/>
      <c r="H38" s="282"/>
      <c r="I38" s="282"/>
      <c r="J38" s="282"/>
      <c r="K38" s="276">
        <f>DPA!S55</f>
        <v>31208000</v>
      </c>
      <c r="L38" s="281"/>
      <c r="M38" s="277">
        <f t="shared" si="5"/>
        <v>31208000</v>
      </c>
      <c r="N38" s="283"/>
      <c r="O38" s="283"/>
      <c r="P38" s="283"/>
      <c r="Q38" s="283"/>
      <c r="R38" s="281"/>
      <c r="S38" s="283"/>
      <c r="T38" s="277"/>
      <c r="U38" s="260"/>
      <c r="V38" s="8"/>
      <c r="W38" s="8"/>
      <c r="X38" s="8"/>
      <c r="Y38" s="8"/>
      <c r="Z38" s="8"/>
    </row>
    <row r="39" ht="15.75" customHeight="1">
      <c r="A39" s="260"/>
      <c r="B39" s="275"/>
      <c r="C39" s="275"/>
      <c r="D39" s="284" t="str">
        <f>DPA!D56</f>
        <v>-</v>
      </c>
      <c r="E39" s="285" t="str">
        <f>DPA!E56</f>
        <v>Penginapan Dalam Negeri di- D.K.I. JAKARTA
Spesifikasi: PEJABAT ESELON III / GOLONGAN IV</v>
      </c>
      <c r="F39" s="281"/>
      <c r="G39" s="272"/>
      <c r="H39" s="282"/>
      <c r="I39" s="282"/>
      <c r="J39" s="282"/>
      <c r="K39" s="276">
        <f>DPA!S56</f>
        <v>7936000</v>
      </c>
      <c r="L39" s="281"/>
      <c r="M39" s="277">
        <f t="shared" si="5"/>
        <v>7936000</v>
      </c>
      <c r="N39" s="283"/>
      <c r="O39" s="283"/>
      <c r="P39" s="283"/>
      <c r="Q39" s="283"/>
      <c r="R39" s="281"/>
      <c r="S39" s="283"/>
      <c r="T39" s="277"/>
      <c r="U39" s="260"/>
      <c r="V39" s="8"/>
      <c r="W39" s="8"/>
      <c r="X39" s="8"/>
      <c r="Y39" s="8"/>
      <c r="Z39" s="8"/>
    </row>
    <row r="40" ht="15.75" customHeight="1">
      <c r="A40" s="274"/>
      <c r="B40" s="275"/>
      <c r="C40" s="275"/>
      <c r="D40" s="284" t="str">
        <f>DPA!D57</f>
        <v>-</v>
      </c>
      <c r="E40" s="285" t="str">
        <f>DPA!E57</f>
        <v>Taxi dari/ke Bandara - Perjalanan Dinas Dalam Negeri
Spesifikasi: BALI</v>
      </c>
      <c r="F40" s="277"/>
      <c r="G40" s="271"/>
      <c r="H40" s="280"/>
      <c r="I40" s="280"/>
      <c r="J40" s="280"/>
      <c r="K40" s="276">
        <f>DPA!S57</f>
        <v>1816000</v>
      </c>
      <c r="L40" s="277"/>
      <c r="M40" s="277">
        <f t="shared" si="5"/>
        <v>1816000</v>
      </c>
      <c r="N40" s="278"/>
      <c r="O40" s="278"/>
      <c r="P40" s="278"/>
      <c r="Q40" s="278"/>
      <c r="R40" s="277"/>
      <c r="S40" s="278"/>
      <c r="T40" s="277"/>
      <c r="U40" s="274"/>
      <c r="V40" s="72"/>
      <c r="W40" s="72"/>
      <c r="X40" s="72"/>
      <c r="Y40" s="72"/>
      <c r="Z40" s="72"/>
    </row>
    <row r="41" ht="15.75" customHeight="1">
      <c r="A41" s="260"/>
      <c r="B41" s="275"/>
      <c r="C41" s="275"/>
      <c r="D41" s="284" t="str">
        <f>DPA!D58</f>
        <v>-</v>
      </c>
      <c r="E41" s="285" t="str">
        <f>DPA!E58</f>
        <v>Taxi dari/ke Bandara - Perjalanan Dinas Dalam Negeri
Spesifikasi: D.K.I. JAKARTA</v>
      </c>
      <c r="F41" s="281"/>
      <c r="G41" s="272"/>
      <c r="H41" s="282"/>
      <c r="I41" s="282"/>
      <c r="J41" s="282"/>
      <c r="K41" s="276">
        <f>DPA!S58</f>
        <v>2048000</v>
      </c>
      <c r="L41" s="277"/>
      <c r="M41" s="277">
        <f t="shared" si="5"/>
        <v>2048000</v>
      </c>
      <c r="N41" s="278"/>
      <c r="O41" s="278"/>
      <c r="P41" s="278"/>
      <c r="Q41" s="278"/>
      <c r="R41" s="277"/>
      <c r="S41" s="278"/>
      <c r="T41" s="277"/>
      <c r="U41" s="260"/>
      <c r="V41" s="8"/>
      <c r="W41" s="8"/>
      <c r="X41" s="8"/>
      <c r="Y41" s="8"/>
      <c r="Z41" s="8"/>
    </row>
    <row r="42" ht="15.75" hidden="1" customHeight="1">
      <c r="A42" s="260"/>
      <c r="B42" s="275"/>
      <c r="C42" s="275"/>
      <c r="D42" s="284" t="str">
        <f>DPA!D59</f>
        <v>-</v>
      </c>
      <c r="E42" s="285" t="str">
        <f>DPA!E59</f>
        <v>Satuan Biaya Tiket Dalam Negeri
Spesifikasi : Denpasar - Jakarta</v>
      </c>
      <c r="F42" s="281"/>
      <c r="G42" s="272"/>
      <c r="H42" s="282"/>
      <c r="I42" s="282"/>
      <c r="J42" s="282"/>
      <c r="K42" s="276">
        <f>DPA!S59</f>
        <v>13048000</v>
      </c>
      <c r="L42" s="281"/>
      <c r="M42" s="277">
        <f t="shared" si="5"/>
        <v>13048000</v>
      </c>
      <c r="N42" s="283"/>
      <c r="O42" s="283"/>
      <c r="P42" s="283"/>
      <c r="Q42" s="283"/>
      <c r="R42" s="281"/>
      <c r="S42" s="283"/>
      <c r="T42" s="277"/>
      <c r="U42" s="260"/>
      <c r="V42" s="8"/>
      <c r="W42" s="8"/>
      <c r="X42" s="8"/>
      <c r="Y42" s="8"/>
      <c r="Z42" s="8"/>
    </row>
    <row r="43" ht="15.75" customHeight="1">
      <c r="A43" s="260"/>
      <c r="B43" s="275"/>
      <c r="C43" s="275"/>
      <c r="D43" s="284" t="str">
        <f>DPA!D60</f>
        <v>-</v>
      </c>
      <c r="E43" s="285" t="str">
        <f>DPA!E60</f>
        <v>Uang Harian Perjalanan Dinas Luar Kota/Luar Daerah
Spesifikasi: D.K.I. JAKARTA</v>
      </c>
      <c r="F43" s="281"/>
      <c r="G43" s="272"/>
      <c r="H43" s="282"/>
      <c r="I43" s="282"/>
      <c r="J43" s="282"/>
      <c r="K43" s="276">
        <f>DPA!S60</f>
        <v>6360000</v>
      </c>
      <c r="L43" s="281"/>
      <c r="M43" s="277">
        <f t="shared" si="5"/>
        <v>6360000</v>
      </c>
      <c r="N43" s="283"/>
      <c r="O43" s="283"/>
      <c r="P43" s="283"/>
      <c r="Q43" s="283"/>
      <c r="R43" s="281"/>
      <c r="S43" s="283"/>
      <c r="T43" s="277"/>
      <c r="U43" s="260"/>
      <c r="V43" s="8"/>
      <c r="W43" s="8"/>
      <c r="X43" s="8"/>
      <c r="Y43" s="8"/>
      <c r="Z43" s="8"/>
    </row>
    <row r="44" ht="15.75" customHeight="1">
      <c r="A44" s="260"/>
      <c r="B44" s="275"/>
      <c r="C44" s="275"/>
      <c r="D44" s="275"/>
      <c r="E44" s="275"/>
      <c r="F44" s="281"/>
      <c r="G44" s="272"/>
      <c r="H44" s="282"/>
      <c r="I44" s="282"/>
      <c r="J44" s="282"/>
      <c r="K44" s="276"/>
      <c r="L44" s="277"/>
      <c r="M44" s="277"/>
      <c r="N44" s="278"/>
      <c r="O44" s="278"/>
      <c r="P44" s="278"/>
      <c r="Q44" s="278"/>
      <c r="R44" s="277"/>
      <c r="S44" s="278"/>
      <c r="T44" s="277"/>
      <c r="U44" s="260"/>
      <c r="V44" s="8"/>
      <c r="W44" s="8"/>
      <c r="X44" s="8"/>
      <c r="Y44" s="8"/>
      <c r="Z44" s="8"/>
    </row>
    <row r="45" ht="15.75" hidden="1" customHeight="1">
      <c r="A45" s="260"/>
      <c r="B45" s="275" t="str">
        <f>DPA!B62</f>
        <v>5.2 </v>
      </c>
      <c r="C45" s="275" t="str">
        <f>DPA!C62</f>
        <v>Belanja Modal</v>
      </c>
      <c r="D45" s="275"/>
      <c r="E45" s="275"/>
      <c r="F45" s="281"/>
      <c r="G45" s="272"/>
      <c r="H45" s="282"/>
      <c r="I45" s="282"/>
      <c r="J45" s="282"/>
      <c r="K45" s="276">
        <f>DPA!S62</f>
        <v>61372400</v>
      </c>
      <c r="L45" s="281"/>
      <c r="M45" s="277">
        <f t="shared" ref="M45:M54" si="6">K45</f>
        <v>61372400</v>
      </c>
      <c r="N45" s="283"/>
      <c r="O45" s="283"/>
      <c r="P45" s="283"/>
      <c r="Q45" s="283"/>
      <c r="R45" s="281"/>
      <c r="S45" s="283"/>
      <c r="T45" s="277"/>
      <c r="U45" s="260"/>
      <c r="V45" s="8"/>
      <c r="W45" s="8"/>
      <c r="X45" s="8"/>
      <c r="Y45" s="8"/>
      <c r="Z45" s="8"/>
    </row>
    <row r="46" ht="15.75" hidden="1" customHeight="1">
      <c r="A46" s="260"/>
      <c r="B46" s="275" t="str">
        <f>DPA!B63</f>
        <v>5.2.02</v>
      </c>
      <c r="C46" s="275" t="str">
        <f>DPA!C63</f>
        <v>Belanja Modal Perapatan dan Mesin</v>
      </c>
      <c r="D46" s="275"/>
      <c r="E46" s="275"/>
      <c r="F46" s="281"/>
      <c r="G46" s="272"/>
      <c r="H46" s="282"/>
      <c r="I46" s="282"/>
      <c r="J46" s="282"/>
      <c r="K46" s="276">
        <f>DPA!S63</f>
        <v>61372400</v>
      </c>
      <c r="L46" s="281"/>
      <c r="M46" s="277">
        <f t="shared" si="6"/>
        <v>61372400</v>
      </c>
      <c r="N46" s="283"/>
      <c r="O46" s="283"/>
      <c r="P46" s="283"/>
      <c r="Q46" s="283"/>
      <c r="R46" s="281"/>
      <c r="S46" s="283"/>
      <c r="T46" s="277"/>
      <c r="U46" s="260"/>
      <c r="V46" s="8"/>
      <c r="W46" s="8"/>
      <c r="X46" s="8"/>
      <c r="Y46" s="8"/>
      <c r="Z46" s="8"/>
    </row>
    <row r="47" ht="15.75" hidden="1" customHeight="1">
      <c r="A47" s="260"/>
      <c r="B47" s="275" t="str">
        <f>DPA!B64</f>
        <v>5.2.02.05</v>
      </c>
      <c r="C47" s="275" t="str">
        <f>DPA!C64</f>
        <v>Belanja Modal Alat Kantor dan Rumah Tangga</v>
      </c>
      <c r="D47" s="275"/>
      <c r="E47" s="275"/>
      <c r="F47" s="281"/>
      <c r="G47" s="272"/>
      <c r="H47" s="282"/>
      <c r="I47" s="282"/>
      <c r="J47" s="282"/>
      <c r="K47" s="276">
        <f>DPA!S64</f>
        <v>61372400</v>
      </c>
      <c r="L47" s="281"/>
      <c r="M47" s="277">
        <f t="shared" si="6"/>
        <v>61372400</v>
      </c>
      <c r="N47" s="283"/>
      <c r="O47" s="283"/>
      <c r="P47" s="283"/>
      <c r="Q47" s="283"/>
      <c r="R47" s="281"/>
      <c r="S47" s="283"/>
      <c r="T47" s="277"/>
      <c r="U47" s="260"/>
      <c r="V47" s="8"/>
      <c r="W47" s="8"/>
      <c r="X47" s="8"/>
      <c r="Y47" s="8"/>
      <c r="Z47" s="8"/>
    </row>
    <row r="48" ht="15.75" hidden="1" customHeight="1">
      <c r="A48" s="260"/>
      <c r="B48" s="275" t="str">
        <f>DPA!B65</f>
        <v>5.2.02.05.001</v>
      </c>
      <c r="C48" s="275" t="str">
        <f>DPA!C65</f>
        <v>Belanja Modal Alat Kantor</v>
      </c>
      <c r="D48" s="275"/>
      <c r="E48" s="275"/>
      <c r="F48" s="281"/>
      <c r="G48" s="272"/>
      <c r="H48" s="282"/>
      <c r="I48" s="282"/>
      <c r="J48" s="282"/>
      <c r="K48" s="276">
        <f>DPA!S65</f>
        <v>34347600</v>
      </c>
      <c r="L48" s="281"/>
      <c r="M48" s="277">
        <f t="shared" si="6"/>
        <v>34347600</v>
      </c>
      <c r="N48" s="283"/>
      <c r="O48" s="283"/>
      <c r="P48" s="283"/>
      <c r="Q48" s="283"/>
      <c r="R48" s="281"/>
      <c r="S48" s="283"/>
      <c r="T48" s="277"/>
      <c r="U48" s="260"/>
      <c r="V48" s="8"/>
      <c r="W48" s="8"/>
      <c r="X48" s="8"/>
      <c r="Y48" s="8"/>
      <c r="Z48" s="8"/>
    </row>
    <row r="49" ht="15.75" hidden="1" customHeight="1">
      <c r="A49" s="260"/>
      <c r="B49" s="275" t="str">
        <f>DPA!B66</f>
        <v>5.2.02.05.001.00005</v>
      </c>
      <c r="C49" s="275" t="str">
        <f>DPA!C66</f>
        <v>Belanja Modal Alat Kantor Lainnya</v>
      </c>
      <c r="D49" s="275"/>
      <c r="E49" s="275"/>
      <c r="F49" s="281"/>
      <c r="G49" s="272"/>
      <c r="H49" s="282"/>
      <c r="I49" s="282"/>
      <c r="J49" s="282"/>
      <c r="K49" s="276">
        <f>DPA!S66</f>
        <v>34347600</v>
      </c>
      <c r="L49" s="281"/>
      <c r="M49" s="277">
        <f t="shared" si="6"/>
        <v>34347600</v>
      </c>
      <c r="N49" s="283"/>
      <c r="O49" s="283"/>
      <c r="P49" s="283"/>
      <c r="Q49" s="283"/>
      <c r="R49" s="281"/>
      <c r="S49" s="283"/>
      <c r="T49" s="277"/>
      <c r="U49" s="260"/>
      <c r="V49" s="8"/>
      <c r="W49" s="8"/>
      <c r="X49" s="8"/>
      <c r="Y49" s="8"/>
      <c r="Z49" s="8"/>
    </row>
    <row r="50" ht="15.75" hidden="1" customHeight="1">
      <c r="A50" s="260"/>
      <c r="B50" s="275" t="str">
        <f>DPA!B67</f>
        <v/>
      </c>
      <c r="C50" s="275" t="str">
        <f>DPA!C67</f>
        <v/>
      </c>
      <c r="D50" s="275"/>
      <c r="E50" s="275"/>
      <c r="F50" s="281"/>
      <c r="G50" s="272"/>
      <c r="H50" s="282"/>
      <c r="I50" s="282"/>
      <c r="J50" s="282"/>
      <c r="K50" s="276">
        <f>DPA!S67</f>
        <v>34347600</v>
      </c>
      <c r="L50" s="281"/>
      <c r="M50" s="277">
        <f t="shared" si="6"/>
        <v>34347600</v>
      </c>
      <c r="N50" s="283"/>
      <c r="O50" s="283"/>
      <c r="P50" s="283"/>
      <c r="Q50" s="283"/>
      <c r="R50" s="281"/>
      <c r="S50" s="283"/>
      <c r="T50" s="277"/>
      <c r="U50" s="260"/>
      <c r="V50" s="8"/>
      <c r="W50" s="8"/>
      <c r="X50" s="8"/>
      <c r="Y50" s="8"/>
      <c r="Z50" s="8"/>
    </row>
    <row r="51" ht="15.75" hidden="1" customHeight="1">
      <c r="A51" s="260"/>
      <c r="B51" s="275" t="str">
        <f>DPA!B68</f>
        <v/>
      </c>
      <c r="C51" s="275" t="str">
        <f>DPA!C68</f>
        <v/>
      </c>
      <c r="D51" s="275"/>
      <c r="E51" s="275"/>
      <c r="F51" s="281"/>
      <c r="G51" s="272"/>
      <c r="H51" s="282"/>
      <c r="I51" s="282"/>
      <c r="J51" s="282"/>
      <c r="K51" s="276" t="str">
        <f>DPA!S68</f>
        <v/>
      </c>
      <c r="L51" s="281"/>
      <c r="M51" s="277" t="str">
        <f t="shared" si="6"/>
        <v/>
      </c>
      <c r="N51" s="283"/>
      <c r="O51" s="283"/>
      <c r="P51" s="283"/>
      <c r="Q51" s="283"/>
      <c r="R51" s="281"/>
      <c r="S51" s="283"/>
      <c r="T51" s="277"/>
      <c r="U51" s="260"/>
      <c r="V51" s="8"/>
      <c r="W51" s="8"/>
      <c r="X51" s="8"/>
      <c r="Y51" s="8"/>
      <c r="Z51" s="8"/>
    </row>
    <row r="52" ht="15.75" hidden="1" customHeight="1">
      <c r="A52" s="260"/>
      <c r="B52" s="275" t="str">
        <f>DPA!B69</f>
        <v>5.2.02.05.002</v>
      </c>
      <c r="C52" s="275" t="str">
        <f>DPA!C69</f>
        <v>Belanja Modal Alat Rumah Tangga</v>
      </c>
      <c r="D52" s="275"/>
      <c r="E52" s="275"/>
      <c r="F52" s="281"/>
      <c r="G52" s="272"/>
      <c r="H52" s="282"/>
      <c r="I52" s="282"/>
      <c r="J52" s="282"/>
      <c r="K52" s="276">
        <f>DPA!S69</f>
        <v>27024800</v>
      </c>
      <c r="L52" s="281"/>
      <c r="M52" s="277">
        <f t="shared" si="6"/>
        <v>27024800</v>
      </c>
      <c r="N52" s="283"/>
      <c r="O52" s="283"/>
      <c r="P52" s="283"/>
      <c r="Q52" s="283"/>
      <c r="R52" s="281"/>
      <c r="S52" s="283"/>
      <c r="T52" s="277"/>
      <c r="U52" s="260"/>
      <c r="V52" s="8"/>
      <c r="W52" s="8"/>
      <c r="X52" s="8"/>
      <c r="Y52" s="8"/>
      <c r="Z52" s="8"/>
    </row>
    <row r="53" ht="15.75" customHeight="1">
      <c r="A53" s="260"/>
      <c r="B53" s="275" t="str">
        <f>DPA!B70</f>
        <v>5.2.02.05.002.000
06</v>
      </c>
      <c r="C53" s="275" t="str">
        <f>DPA!C70</f>
        <v>Belanja Modal Alat Rumah Tangga Lainnya (Home Use)</v>
      </c>
      <c r="D53" s="275"/>
      <c r="E53" s="275"/>
      <c r="F53" s="281"/>
      <c r="G53" s="272"/>
      <c r="H53" s="282"/>
      <c r="I53" s="282"/>
      <c r="J53" s="282"/>
      <c r="K53" s="276">
        <f>DPA!S70</f>
        <v>27024800</v>
      </c>
      <c r="L53" s="281"/>
      <c r="M53" s="277">
        <f t="shared" si="6"/>
        <v>27024800</v>
      </c>
      <c r="N53" s="283"/>
      <c r="O53" s="283"/>
      <c r="P53" s="283"/>
      <c r="Q53" s="283"/>
      <c r="R53" s="281"/>
      <c r="S53" s="283"/>
      <c r="T53" s="277"/>
      <c r="U53" s="260"/>
      <c r="V53" s="8"/>
      <c r="W53" s="8"/>
      <c r="X53" s="8"/>
      <c r="Y53" s="8"/>
      <c r="Z53" s="8"/>
    </row>
    <row r="54" ht="15.75" customHeight="1">
      <c r="A54" s="260"/>
      <c r="B54" s="275"/>
      <c r="C54" s="275"/>
      <c r="D54" s="284" t="str">
        <f>DPA!D71</f>
        <v>-</v>
      </c>
      <c r="E54" s="285" t="str">
        <f>DPA!E71</f>
        <v>Televisi
Spesifikasi : Smart TV 70 Inch min. UHD 4K,
Garansi Min. 1 Tahun</v>
      </c>
      <c r="F54" s="281"/>
      <c r="G54" s="272"/>
      <c r="H54" s="282"/>
      <c r="I54" s="282"/>
      <c r="J54" s="282"/>
      <c r="K54" s="276">
        <f>DPA!S71</f>
        <v>27024800</v>
      </c>
      <c r="L54" s="277"/>
      <c r="M54" s="277">
        <f t="shared" si="6"/>
        <v>27024800</v>
      </c>
      <c r="N54" s="278"/>
      <c r="O54" s="278"/>
      <c r="P54" s="278"/>
      <c r="Q54" s="278"/>
      <c r="R54" s="277"/>
      <c r="S54" s="278"/>
      <c r="T54" s="277"/>
      <c r="U54" s="260"/>
      <c r="V54" s="8"/>
      <c r="W54" s="8"/>
      <c r="X54" s="8"/>
      <c r="Y54" s="8"/>
      <c r="Z54" s="8"/>
    </row>
    <row r="55" ht="15.75" customHeight="1">
      <c r="A55" s="260"/>
      <c r="B55" s="275"/>
      <c r="C55" s="275"/>
      <c r="D55" s="275"/>
      <c r="E55" s="275"/>
      <c r="F55" s="281"/>
      <c r="G55" s="272"/>
      <c r="H55" s="282"/>
      <c r="I55" s="282"/>
      <c r="J55" s="282"/>
      <c r="K55" s="276"/>
      <c r="L55" s="281"/>
      <c r="M55" s="277"/>
      <c r="N55" s="283"/>
      <c r="O55" s="283"/>
      <c r="P55" s="283"/>
      <c r="Q55" s="283"/>
      <c r="R55" s="281"/>
      <c r="S55" s="283"/>
      <c r="T55" s="277"/>
      <c r="U55" s="260"/>
      <c r="V55" s="8"/>
      <c r="W55" s="8"/>
      <c r="X55" s="8"/>
      <c r="Y55" s="8"/>
      <c r="Z55" s="8"/>
    </row>
    <row r="56" ht="8.25" customHeight="1">
      <c r="A56" s="260"/>
      <c r="B56" s="260"/>
      <c r="C56" s="260"/>
      <c r="D56" s="260"/>
      <c r="E56" s="8"/>
      <c r="F56" s="260"/>
      <c r="G56" s="260"/>
      <c r="H56" s="260"/>
      <c r="I56" s="260"/>
      <c r="J56" s="260"/>
      <c r="K56" s="270"/>
      <c r="L56" s="270"/>
      <c r="M56" s="270"/>
      <c r="N56" s="270"/>
      <c r="O56" s="260"/>
      <c r="P56" s="270"/>
      <c r="Q56" s="270"/>
      <c r="R56" s="270"/>
      <c r="S56" s="270"/>
      <c r="T56" s="270"/>
      <c r="U56" s="260"/>
      <c r="V56" s="8"/>
      <c r="W56" s="8"/>
      <c r="X56" s="8"/>
      <c r="Y56" s="8"/>
      <c r="Z56" s="8"/>
    </row>
    <row r="57" ht="15.75" customHeight="1">
      <c r="A57" s="260"/>
      <c r="B57" s="260"/>
      <c r="C57" s="260"/>
      <c r="D57" s="260"/>
      <c r="E57" s="8"/>
      <c r="F57" s="260"/>
      <c r="G57" s="260"/>
      <c r="H57" s="260"/>
      <c r="I57" s="260"/>
      <c r="J57" s="260"/>
      <c r="K57" s="270"/>
      <c r="L57" s="270"/>
      <c r="M57" s="270"/>
      <c r="N57" s="270"/>
      <c r="O57" s="260" t="s">
        <v>114</v>
      </c>
      <c r="P57" s="270"/>
      <c r="Q57" s="270"/>
      <c r="R57" s="270"/>
      <c r="S57" s="270"/>
      <c r="T57" s="270"/>
      <c r="U57" s="260"/>
      <c r="V57" s="8"/>
      <c r="W57" s="8"/>
      <c r="X57" s="8"/>
      <c r="Y57" s="8"/>
      <c r="Z57" s="8"/>
    </row>
    <row r="58" ht="6.75" customHeight="1">
      <c r="A58" s="260"/>
      <c r="B58" s="260"/>
      <c r="C58" s="260"/>
      <c r="D58" s="260"/>
      <c r="E58" s="8"/>
      <c r="F58" s="260"/>
      <c r="G58" s="260"/>
      <c r="H58" s="260"/>
      <c r="I58" s="260"/>
      <c r="J58" s="260"/>
      <c r="K58" s="270"/>
      <c r="L58" s="270"/>
      <c r="M58" s="270"/>
      <c r="N58" s="270"/>
      <c r="O58" s="260"/>
      <c r="P58" s="270"/>
      <c r="Q58" s="270"/>
      <c r="R58" s="270"/>
      <c r="S58" s="270"/>
      <c r="T58" s="270"/>
      <c r="U58" s="260"/>
      <c r="V58" s="8"/>
      <c r="W58" s="8"/>
      <c r="X58" s="8"/>
      <c r="Y58" s="8"/>
      <c r="Z58" s="8"/>
    </row>
    <row r="59" ht="15.75" customHeight="1">
      <c r="A59" s="260"/>
      <c r="B59" s="260"/>
      <c r="C59" s="260"/>
      <c r="D59" s="260"/>
      <c r="E59" s="260" t="s">
        <v>168</v>
      </c>
      <c r="F59" s="260"/>
      <c r="G59" s="260"/>
      <c r="H59" s="260"/>
      <c r="I59" s="260"/>
      <c r="J59" s="260"/>
      <c r="K59" s="270"/>
      <c r="L59" s="270"/>
      <c r="M59" s="270"/>
      <c r="N59" s="270"/>
      <c r="O59" s="260" t="s">
        <v>217</v>
      </c>
      <c r="P59" s="270"/>
      <c r="Q59" s="270"/>
      <c r="R59" s="270"/>
      <c r="S59" s="270"/>
      <c r="T59" s="270"/>
      <c r="U59" s="260"/>
      <c r="V59" s="8"/>
      <c r="W59" s="8"/>
      <c r="X59" s="8"/>
      <c r="Y59" s="8"/>
      <c r="Z59" s="8"/>
    </row>
    <row r="60" ht="15.75" customHeight="1">
      <c r="A60" s="260"/>
      <c r="B60" s="260"/>
      <c r="C60" s="260"/>
      <c r="D60" s="260"/>
      <c r="E60" s="256" t="s">
        <v>170</v>
      </c>
      <c r="F60" s="260"/>
      <c r="G60" s="260"/>
      <c r="H60" s="260"/>
      <c r="I60" s="260"/>
      <c r="J60" s="260"/>
      <c r="K60" s="270"/>
      <c r="L60" s="270"/>
      <c r="M60" s="270"/>
      <c r="N60" s="270"/>
      <c r="O60" s="260" t="str">
        <f>DPA!N9</f>
        <v/>
      </c>
      <c r="P60" s="270"/>
      <c r="Q60" s="270"/>
      <c r="R60" s="270"/>
      <c r="S60" s="270"/>
      <c r="T60" s="270"/>
      <c r="U60" s="260"/>
      <c r="V60" s="8"/>
      <c r="W60" s="8"/>
      <c r="X60" s="8"/>
      <c r="Y60" s="8"/>
      <c r="Z60" s="8"/>
    </row>
    <row r="61" ht="15.75" customHeight="1">
      <c r="A61" s="260"/>
      <c r="B61" s="260"/>
      <c r="C61" s="260"/>
      <c r="D61" s="260"/>
      <c r="E61" s="256" t="s">
        <v>171</v>
      </c>
      <c r="F61" s="260"/>
      <c r="G61" s="260"/>
      <c r="H61" s="260"/>
      <c r="I61" s="260"/>
      <c r="J61" s="260"/>
      <c r="K61" s="270"/>
      <c r="L61" s="270"/>
      <c r="M61" s="270"/>
      <c r="N61" s="270"/>
      <c r="O61" s="260"/>
      <c r="P61" s="270"/>
      <c r="Q61" s="270"/>
      <c r="R61" s="270"/>
      <c r="S61" s="270"/>
      <c r="T61" s="270"/>
      <c r="U61" s="260"/>
      <c r="V61" s="8"/>
      <c r="W61" s="8"/>
      <c r="X61" s="8"/>
      <c r="Y61" s="8"/>
      <c r="Z61" s="8"/>
    </row>
    <row r="62" ht="15.75" customHeight="1">
      <c r="A62" s="260"/>
      <c r="B62" s="260"/>
      <c r="C62" s="260"/>
      <c r="D62" s="260"/>
      <c r="E62" s="8"/>
      <c r="F62" s="260"/>
      <c r="G62" s="260"/>
      <c r="H62" s="260"/>
      <c r="I62" s="260"/>
      <c r="J62" s="260"/>
      <c r="K62" s="270"/>
      <c r="L62" s="270"/>
      <c r="M62" s="270"/>
      <c r="N62" s="270"/>
      <c r="O62" s="260"/>
      <c r="P62" s="270"/>
      <c r="Q62" s="270"/>
      <c r="R62" s="270"/>
      <c r="S62" s="270"/>
      <c r="T62" s="270"/>
      <c r="U62" s="260"/>
      <c r="V62" s="8"/>
      <c r="W62" s="8"/>
      <c r="X62" s="8"/>
      <c r="Y62" s="8"/>
      <c r="Z62" s="8"/>
    </row>
    <row r="63" ht="15.75" customHeight="1">
      <c r="A63" s="260"/>
      <c r="B63" s="260"/>
      <c r="C63" s="260"/>
      <c r="D63" s="260"/>
      <c r="E63" s="8"/>
      <c r="F63" s="260"/>
      <c r="G63" s="260"/>
      <c r="H63" s="260"/>
      <c r="I63" s="260"/>
      <c r="J63" s="260"/>
      <c r="K63" s="270"/>
      <c r="L63" s="270"/>
      <c r="M63" s="270"/>
      <c r="N63" s="270"/>
      <c r="O63" s="260"/>
      <c r="P63" s="270"/>
      <c r="Q63" s="270"/>
      <c r="R63" s="270"/>
      <c r="S63" s="270"/>
      <c r="T63" s="270"/>
      <c r="U63" s="260"/>
      <c r="V63" s="8"/>
      <c r="W63" s="8"/>
      <c r="X63" s="8"/>
      <c r="Y63" s="8"/>
      <c r="Z63" s="8"/>
    </row>
    <row r="64" ht="15.75" customHeight="1">
      <c r="A64" s="260"/>
      <c r="B64" s="260"/>
      <c r="C64" s="260"/>
      <c r="D64" s="260"/>
      <c r="E64" s="8"/>
      <c r="F64" s="260"/>
      <c r="G64" s="260"/>
      <c r="H64" s="260"/>
      <c r="I64" s="260"/>
      <c r="J64" s="260"/>
      <c r="K64" s="270"/>
      <c r="L64" s="270"/>
      <c r="M64" s="270"/>
      <c r="N64" s="270"/>
      <c r="O64" s="260"/>
      <c r="P64" s="270"/>
      <c r="Q64" s="270"/>
      <c r="R64" s="270"/>
      <c r="S64" s="270"/>
      <c r="T64" s="270"/>
      <c r="U64" s="260"/>
      <c r="V64" s="8"/>
      <c r="W64" s="8"/>
      <c r="X64" s="8"/>
      <c r="Y64" s="8"/>
      <c r="Z64" s="8"/>
    </row>
    <row r="65" ht="15.75" customHeight="1">
      <c r="A65" s="260"/>
      <c r="B65" s="260"/>
      <c r="C65" s="260"/>
      <c r="D65" s="260"/>
      <c r="E65" s="258" t="s">
        <v>123</v>
      </c>
      <c r="F65" s="260"/>
      <c r="G65" s="260"/>
      <c r="H65" s="260"/>
      <c r="I65" s="260"/>
      <c r="J65" s="260"/>
      <c r="K65" s="270"/>
      <c r="L65" s="270"/>
      <c r="M65" s="270"/>
      <c r="N65" s="270"/>
      <c r="O65" s="286"/>
      <c r="P65" s="270"/>
      <c r="Q65" s="270"/>
      <c r="R65" s="270"/>
      <c r="S65" s="270"/>
      <c r="T65" s="270"/>
      <c r="U65" s="260"/>
      <c r="V65" s="8"/>
      <c r="W65" s="8"/>
      <c r="X65" s="8"/>
      <c r="Y65" s="8"/>
      <c r="Z65" s="8"/>
    </row>
    <row r="66" ht="15.75" customHeight="1">
      <c r="A66" s="260"/>
      <c r="B66" s="260"/>
      <c r="C66" s="260"/>
      <c r="D66" s="260"/>
      <c r="E66" s="256" t="s">
        <v>218</v>
      </c>
      <c r="F66" s="8"/>
      <c r="G66" s="260"/>
      <c r="H66" s="260"/>
      <c r="I66" s="260"/>
      <c r="J66" s="260"/>
      <c r="K66" s="270"/>
      <c r="L66" s="270"/>
      <c r="M66" s="270"/>
      <c r="N66" s="270"/>
      <c r="O66" s="260"/>
      <c r="P66" s="270"/>
      <c r="Q66" s="270"/>
      <c r="R66" s="270"/>
      <c r="S66" s="270"/>
      <c r="T66" s="270"/>
      <c r="U66" s="260"/>
      <c r="V66" s="8"/>
      <c r="W66" s="8"/>
      <c r="X66" s="8"/>
      <c r="Y66" s="8"/>
      <c r="Z66" s="8"/>
    </row>
    <row r="67" ht="15.75" customHeight="1">
      <c r="A67" s="260"/>
      <c r="B67" s="260"/>
      <c r="C67" s="260"/>
      <c r="D67" s="260"/>
      <c r="E67" s="256" t="s">
        <v>125</v>
      </c>
      <c r="F67" s="260"/>
      <c r="G67" s="260"/>
      <c r="H67" s="260"/>
      <c r="I67" s="260"/>
      <c r="J67" s="260"/>
      <c r="K67" s="270"/>
      <c r="L67" s="270"/>
      <c r="M67" s="270"/>
      <c r="N67" s="270"/>
      <c r="O67" s="260"/>
      <c r="P67" s="270"/>
      <c r="Q67" s="270"/>
      <c r="R67" s="270"/>
      <c r="S67" s="270"/>
      <c r="T67" s="270"/>
      <c r="U67" s="260"/>
      <c r="V67" s="8"/>
      <c r="W67" s="8"/>
      <c r="X67" s="8"/>
      <c r="Y67" s="8"/>
      <c r="Z67" s="8"/>
    </row>
    <row r="68" ht="15.75" customHeight="1">
      <c r="A68" s="260"/>
      <c r="B68" s="260"/>
      <c r="C68" s="260"/>
      <c r="D68" s="260"/>
      <c r="E68" s="260"/>
      <c r="F68" s="260"/>
      <c r="G68" s="260"/>
      <c r="H68" s="260"/>
      <c r="I68" s="260"/>
      <c r="J68" s="26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60"/>
      <c r="V68" s="8"/>
      <c r="W68" s="8"/>
      <c r="X68" s="8"/>
      <c r="Y68" s="8"/>
      <c r="Z68" s="8"/>
    </row>
    <row r="69" ht="15.75" customHeight="1">
      <c r="A69" s="260"/>
      <c r="B69" s="260"/>
      <c r="C69" s="260"/>
      <c r="D69" s="260"/>
      <c r="E69" s="260"/>
      <c r="F69" s="260"/>
      <c r="G69" s="260"/>
      <c r="H69" s="260"/>
      <c r="I69" s="260"/>
      <c r="J69" s="26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60"/>
      <c r="V69" s="8"/>
      <c r="W69" s="8"/>
      <c r="X69" s="8"/>
      <c r="Y69" s="8"/>
      <c r="Z69" s="8"/>
    </row>
    <row r="70" ht="15.7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8"/>
      <c r="W70" s="8"/>
      <c r="X70" s="8"/>
      <c r="Y70" s="8"/>
      <c r="Z70" s="8"/>
    </row>
    <row r="71" ht="15.7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8"/>
      <c r="W71" s="8"/>
      <c r="X71" s="8"/>
      <c r="Y71" s="8"/>
      <c r="Z71" s="8"/>
    </row>
    <row r="72" ht="15.7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8"/>
      <c r="W72" s="8"/>
      <c r="X72" s="8"/>
      <c r="Y72" s="8"/>
      <c r="Z72" s="8"/>
    </row>
    <row r="73" ht="15.7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8"/>
      <c r="W73" s="8"/>
      <c r="X73" s="8"/>
      <c r="Y73" s="8"/>
      <c r="Z73" s="8"/>
    </row>
    <row r="74" ht="15.7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8"/>
      <c r="W74" s="8"/>
      <c r="X74" s="8"/>
      <c r="Y74" s="8"/>
      <c r="Z74" s="8"/>
    </row>
    <row r="75" ht="15.7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8"/>
      <c r="W75" s="8"/>
      <c r="X75" s="8"/>
      <c r="Y75" s="8"/>
      <c r="Z75" s="8"/>
    </row>
    <row r="76" ht="15.7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70"/>
      <c r="N76" s="260"/>
      <c r="O76" s="260"/>
      <c r="P76" s="260"/>
      <c r="Q76" s="260"/>
      <c r="R76" s="260"/>
      <c r="S76" s="260"/>
      <c r="T76" s="260"/>
      <c r="U76" s="260"/>
      <c r="V76" s="8"/>
      <c r="W76" s="8"/>
      <c r="X76" s="8"/>
      <c r="Y76" s="8"/>
      <c r="Z76" s="8"/>
    </row>
    <row r="77" ht="15.7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8"/>
      <c r="W77" s="8"/>
      <c r="X77" s="8"/>
      <c r="Y77" s="8"/>
      <c r="Z77" s="8"/>
    </row>
    <row r="78" ht="15.7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8"/>
      <c r="W78" s="8"/>
      <c r="X78" s="8"/>
      <c r="Y78" s="8"/>
      <c r="Z78" s="8"/>
    </row>
    <row r="79" ht="15.7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8"/>
      <c r="W79" s="8"/>
      <c r="X79" s="8"/>
      <c r="Y79" s="8"/>
      <c r="Z79" s="8"/>
    </row>
    <row r="80" ht="15.7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8"/>
      <c r="W80" s="8"/>
      <c r="X80" s="8"/>
      <c r="Y80" s="8"/>
      <c r="Z80" s="8"/>
    </row>
    <row r="81" ht="15.7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70"/>
      <c r="M81" s="260"/>
      <c r="N81" s="260"/>
      <c r="O81" s="260"/>
      <c r="P81" s="260"/>
      <c r="Q81" s="260"/>
      <c r="R81" s="260"/>
      <c r="S81" s="260"/>
      <c r="T81" s="260"/>
      <c r="U81" s="260"/>
      <c r="V81" s="8"/>
      <c r="W81" s="8"/>
      <c r="X81" s="8"/>
      <c r="Y81" s="8"/>
      <c r="Z81" s="8"/>
    </row>
    <row r="82" ht="15.7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70"/>
      <c r="O82" s="260"/>
      <c r="P82" s="260"/>
      <c r="Q82" s="260"/>
      <c r="R82" s="260"/>
      <c r="S82" s="260"/>
      <c r="T82" s="260"/>
      <c r="U82" s="260"/>
      <c r="V82" s="8"/>
      <c r="W82" s="8"/>
      <c r="X82" s="8"/>
      <c r="Y82" s="8"/>
      <c r="Z82" s="8"/>
    </row>
    <row r="83" ht="15.7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8"/>
      <c r="W83" s="8"/>
      <c r="X83" s="8"/>
      <c r="Y83" s="8"/>
      <c r="Z83" s="8"/>
    </row>
    <row r="84" ht="15.7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8"/>
      <c r="W84" s="8"/>
      <c r="X84" s="8"/>
      <c r="Y84" s="8"/>
      <c r="Z84" s="8"/>
    </row>
    <row r="85" ht="15.7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8"/>
      <c r="W85" s="8"/>
      <c r="X85" s="8"/>
      <c r="Y85" s="8"/>
      <c r="Z85" s="8"/>
    </row>
    <row r="86" ht="15.7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8"/>
      <c r="W86" s="8"/>
      <c r="X86" s="8"/>
      <c r="Y86" s="8"/>
      <c r="Z86" s="8"/>
    </row>
    <row r="87" ht="15.7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8"/>
      <c r="W87" s="8"/>
      <c r="X87" s="8"/>
      <c r="Y87" s="8"/>
      <c r="Z87" s="8"/>
    </row>
    <row r="88" ht="15.7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8"/>
      <c r="W88" s="8"/>
      <c r="X88" s="8"/>
      <c r="Y88" s="8"/>
      <c r="Z88" s="8"/>
    </row>
    <row r="89" ht="15.7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8"/>
      <c r="W89" s="8"/>
      <c r="X89" s="8"/>
      <c r="Y89" s="8"/>
      <c r="Z89" s="8"/>
    </row>
    <row r="90" ht="15.7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8"/>
      <c r="W90" s="8"/>
      <c r="X90" s="8"/>
      <c r="Y90" s="8"/>
      <c r="Z90" s="8"/>
    </row>
    <row r="91" ht="15.7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8"/>
      <c r="W91" s="8"/>
      <c r="X91" s="8"/>
      <c r="Y91" s="8"/>
      <c r="Z91" s="8"/>
    </row>
    <row r="92" ht="15.7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8"/>
      <c r="W92" s="8"/>
      <c r="X92" s="8"/>
      <c r="Y92" s="8"/>
      <c r="Z92" s="8"/>
    </row>
    <row r="93" ht="15.7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8"/>
      <c r="W93" s="8"/>
      <c r="X93" s="8"/>
      <c r="Y93" s="8"/>
      <c r="Z93" s="8"/>
    </row>
    <row r="94" ht="15.7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8"/>
      <c r="W94" s="8"/>
      <c r="X94" s="8"/>
      <c r="Y94" s="8"/>
      <c r="Z94" s="8"/>
    </row>
    <row r="95" ht="15.7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8"/>
      <c r="W95" s="8"/>
      <c r="X95" s="8"/>
      <c r="Y95" s="8"/>
      <c r="Z95" s="8"/>
    </row>
    <row r="96" ht="15.7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8"/>
      <c r="W96" s="8"/>
      <c r="X96" s="8"/>
      <c r="Y96" s="8"/>
      <c r="Z96" s="8"/>
    </row>
    <row r="97" ht="15.7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8"/>
      <c r="W97" s="8"/>
      <c r="X97" s="8"/>
      <c r="Y97" s="8"/>
      <c r="Z97" s="8"/>
    </row>
    <row r="98" ht="15.7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8"/>
      <c r="W98" s="8"/>
      <c r="X98" s="8"/>
      <c r="Y98" s="8"/>
      <c r="Z98" s="8"/>
    </row>
    <row r="99" ht="15.7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8"/>
      <c r="W99" s="8"/>
      <c r="X99" s="8"/>
      <c r="Y99" s="8"/>
      <c r="Z99" s="8"/>
    </row>
    <row r="100" ht="15.7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8"/>
      <c r="W100" s="8"/>
      <c r="X100" s="8"/>
      <c r="Y100" s="8"/>
      <c r="Z100" s="8"/>
    </row>
    <row r="101" ht="15.7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8"/>
      <c r="W101" s="8"/>
      <c r="X101" s="8"/>
      <c r="Y101" s="8"/>
      <c r="Z101" s="8"/>
    </row>
    <row r="102" ht="15.7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8"/>
      <c r="W102" s="8"/>
      <c r="X102" s="8"/>
      <c r="Y102" s="8"/>
      <c r="Z102" s="8"/>
    </row>
    <row r="103" ht="15.7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8"/>
      <c r="W103" s="8"/>
      <c r="X103" s="8"/>
      <c r="Y103" s="8"/>
      <c r="Z103" s="8"/>
    </row>
    <row r="104" ht="15.7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8"/>
      <c r="W104" s="8"/>
      <c r="X104" s="8"/>
      <c r="Y104" s="8"/>
      <c r="Z104" s="8"/>
    </row>
    <row r="105" ht="15.7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8"/>
      <c r="W105" s="8"/>
      <c r="X105" s="8"/>
      <c r="Y105" s="8"/>
      <c r="Z105" s="8"/>
    </row>
    <row r="106" ht="15.7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8"/>
      <c r="W106" s="8"/>
      <c r="X106" s="8"/>
      <c r="Y106" s="8"/>
      <c r="Z106" s="8"/>
    </row>
    <row r="107" ht="15.7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8"/>
      <c r="W107" s="8"/>
      <c r="X107" s="8"/>
      <c r="Y107" s="8"/>
      <c r="Z107" s="8"/>
    </row>
    <row r="108" ht="15.7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8"/>
      <c r="W108" s="8"/>
      <c r="X108" s="8"/>
      <c r="Y108" s="8"/>
      <c r="Z108" s="8"/>
    </row>
    <row r="109" ht="15.7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8"/>
      <c r="W109" s="8"/>
      <c r="X109" s="8"/>
      <c r="Y109" s="8"/>
      <c r="Z109" s="8"/>
    </row>
    <row r="110" ht="15.7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8"/>
      <c r="W110" s="8"/>
      <c r="X110" s="8"/>
      <c r="Y110" s="8"/>
      <c r="Z110" s="8"/>
    </row>
    <row r="111" ht="15.7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8"/>
      <c r="W111" s="8"/>
      <c r="X111" s="8"/>
      <c r="Y111" s="8"/>
      <c r="Z111" s="8"/>
    </row>
    <row r="112" ht="15.7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8"/>
      <c r="W112" s="8"/>
      <c r="X112" s="8"/>
      <c r="Y112" s="8"/>
      <c r="Z112" s="8"/>
    </row>
    <row r="113" ht="15.7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8"/>
      <c r="W113" s="8"/>
      <c r="X113" s="8"/>
      <c r="Y113" s="8"/>
      <c r="Z113" s="8"/>
    </row>
    <row r="114" ht="15.7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8"/>
      <c r="W114" s="8"/>
      <c r="X114" s="8"/>
      <c r="Y114" s="8"/>
      <c r="Z114" s="8"/>
    </row>
    <row r="115" ht="15.7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8"/>
      <c r="W115" s="8"/>
      <c r="X115" s="8"/>
      <c r="Y115" s="8"/>
      <c r="Z115" s="8"/>
    </row>
    <row r="116" ht="15.7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8"/>
      <c r="W116" s="8"/>
      <c r="X116" s="8"/>
      <c r="Y116" s="8"/>
      <c r="Z116" s="8"/>
    </row>
    <row r="117" ht="15.7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8"/>
      <c r="W117" s="8"/>
      <c r="X117" s="8"/>
      <c r="Y117" s="8"/>
      <c r="Z117" s="8"/>
    </row>
    <row r="118" ht="15.7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8"/>
      <c r="W118" s="8"/>
      <c r="X118" s="8"/>
      <c r="Y118" s="8"/>
      <c r="Z118" s="8"/>
    </row>
    <row r="119" ht="15.7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8"/>
      <c r="W119" s="8"/>
      <c r="X119" s="8"/>
      <c r="Y119" s="8"/>
      <c r="Z119" s="8"/>
    </row>
    <row r="120" ht="15.7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8"/>
      <c r="W120" s="8"/>
      <c r="X120" s="8"/>
      <c r="Y120" s="8"/>
      <c r="Z120" s="8"/>
    </row>
    <row r="121" ht="15.7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8"/>
      <c r="W121" s="8"/>
      <c r="X121" s="8"/>
      <c r="Y121" s="8"/>
      <c r="Z121" s="8"/>
    </row>
    <row r="122" ht="15.7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8"/>
      <c r="W122" s="8"/>
      <c r="X122" s="8"/>
      <c r="Y122" s="8"/>
      <c r="Z122" s="8"/>
    </row>
    <row r="123" ht="15.7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8"/>
      <c r="W123" s="8"/>
      <c r="X123" s="8"/>
      <c r="Y123" s="8"/>
      <c r="Z123" s="8"/>
    </row>
    <row r="124" ht="15.7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8"/>
      <c r="W124" s="8"/>
      <c r="X124" s="8"/>
      <c r="Y124" s="8"/>
      <c r="Z124" s="8"/>
    </row>
    <row r="125" ht="15.7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8"/>
      <c r="W125" s="8"/>
      <c r="X125" s="8"/>
      <c r="Y125" s="8"/>
      <c r="Z125" s="8"/>
    </row>
    <row r="126" ht="15.7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8"/>
      <c r="W126" s="8"/>
      <c r="X126" s="8"/>
      <c r="Y126" s="8"/>
      <c r="Z126" s="8"/>
    </row>
    <row r="127" ht="15.7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8"/>
      <c r="W127" s="8"/>
      <c r="X127" s="8"/>
      <c r="Y127" s="8"/>
      <c r="Z127" s="8"/>
    </row>
    <row r="128" ht="15.7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8"/>
      <c r="W128" s="8"/>
      <c r="X128" s="8"/>
      <c r="Y128" s="8"/>
      <c r="Z128" s="8"/>
    </row>
    <row r="129" ht="15.7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8"/>
      <c r="W129" s="8"/>
      <c r="X129" s="8"/>
      <c r="Y129" s="8"/>
      <c r="Z129" s="8"/>
    </row>
    <row r="130" ht="15.7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8"/>
      <c r="W130" s="8"/>
      <c r="X130" s="8"/>
      <c r="Y130" s="8"/>
      <c r="Z130" s="8"/>
    </row>
    <row r="131" ht="15.7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8"/>
      <c r="W131" s="8"/>
      <c r="X131" s="8"/>
      <c r="Y131" s="8"/>
      <c r="Z131" s="8"/>
    </row>
    <row r="132" ht="15.7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8"/>
      <c r="W132" s="8"/>
      <c r="X132" s="8"/>
      <c r="Y132" s="8"/>
      <c r="Z132" s="8"/>
    </row>
    <row r="133" ht="15.7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8"/>
      <c r="W133" s="8"/>
      <c r="X133" s="8"/>
      <c r="Y133" s="8"/>
      <c r="Z133" s="8"/>
    </row>
    <row r="134" ht="15.7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8"/>
      <c r="W134" s="8"/>
      <c r="X134" s="8"/>
      <c r="Y134" s="8"/>
      <c r="Z134" s="8"/>
    </row>
    <row r="135" ht="15.7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8"/>
      <c r="W135" s="8"/>
      <c r="X135" s="8"/>
      <c r="Y135" s="8"/>
      <c r="Z135" s="8"/>
    </row>
    <row r="136" ht="15.7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8"/>
      <c r="W136" s="8"/>
      <c r="X136" s="8"/>
      <c r="Y136" s="8"/>
      <c r="Z136" s="8"/>
    </row>
    <row r="137" ht="15.7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8"/>
      <c r="W137" s="8"/>
      <c r="X137" s="8"/>
      <c r="Y137" s="8"/>
      <c r="Z137" s="8"/>
    </row>
    <row r="138" ht="15.7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8"/>
      <c r="W138" s="8"/>
      <c r="X138" s="8"/>
      <c r="Y138" s="8"/>
      <c r="Z138" s="8"/>
    </row>
    <row r="139" ht="15.7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8"/>
      <c r="W139" s="8"/>
      <c r="X139" s="8"/>
      <c r="Y139" s="8"/>
      <c r="Z139" s="8"/>
    </row>
    <row r="140" ht="15.7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8"/>
      <c r="W140" s="8"/>
      <c r="X140" s="8"/>
      <c r="Y140" s="8"/>
      <c r="Z140" s="8"/>
    </row>
    <row r="141" ht="15.7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8"/>
      <c r="W141" s="8"/>
      <c r="X141" s="8"/>
      <c r="Y141" s="8"/>
      <c r="Z141" s="8"/>
    </row>
    <row r="142" ht="15.7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8"/>
      <c r="W142" s="8"/>
      <c r="X142" s="8"/>
      <c r="Y142" s="8"/>
      <c r="Z142" s="8"/>
    </row>
    <row r="143" ht="15.7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8"/>
      <c r="W143" s="8"/>
      <c r="X143" s="8"/>
      <c r="Y143" s="8"/>
      <c r="Z143" s="8"/>
    </row>
    <row r="144" ht="15.7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8"/>
      <c r="W144" s="8"/>
      <c r="X144" s="8"/>
      <c r="Y144" s="8"/>
      <c r="Z144" s="8"/>
    </row>
    <row r="145" ht="15.7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8"/>
      <c r="W145" s="8"/>
      <c r="X145" s="8"/>
      <c r="Y145" s="8"/>
      <c r="Z145" s="8"/>
    </row>
    <row r="146" ht="15.7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8"/>
      <c r="W146" s="8"/>
      <c r="X146" s="8"/>
      <c r="Y146" s="8"/>
      <c r="Z146" s="8"/>
    </row>
    <row r="147" ht="15.7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8"/>
      <c r="W147" s="8"/>
      <c r="X147" s="8"/>
      <c r="Y147" s="8"/>
      <c r="Z147" s="8"/>
    </row>
    <row r="148" ht="15.7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8"/>
      <c r="W148" s="8"/>
      <c r="X148" s="8"/>
      <c r="Y148" s="8"/>
      <c r="Z148" s="8"/>
    </row>
    <row r="149" ht="15.7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8"/>
      <c r="W149" s="8"/>
      <c r="X149" s="8"/>
      <c r="Y149" s="8"/>
      <c r="Z149" s="8"/>
    </row>
    <row r="150" ht="15.7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8"/>
      <c r="W150" s="8"/>
      <c r="X150" s="8"/>
      <c r="Y150" s="8"/>
      <c r="Z150" s="8"/>
    </row>
    <row r="151" ht="15.7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8"/>
      <c r="W151" s="8"/>
      <c r="X151" s="8"/>
      <c r="Y151" s="8"/>
      <c r="Z151" s="8"/>
    </row>
    <row r="152" ht="15.7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8"/>
      <c r="W152" s="8"/>
      <c r="X152" s="8"/>
      <c r="Y152" s="8"/>
      <c r="Z152" s="8"/>
    </row>
    <row r="153" ht="15.7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8"/>
      <c r="W153" s="8"/>
      <c r="X153" s="8"/>
      <c r="Y153" s="8"/>
      <c r="Z153" s="8"/>
    </row>
    <row r="154" ht="15.7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8"/>
      <c r="W154" s="8"/>
      <c r="X154" s="8"/>
      <c r="Y154" s="8"/>
      <c r="Z154" s="8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8"/>
      <c r="W155" s="8"/>
      <c r="X155" s="8"/>
      <c r="Y155" s="8"/>
      <c r="Z155" s="8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8"/>
      <c r="W156" s="8"/>
      <c r="X156" s="8"/>
      <c r="Y156" s="8"/>
      <c r="Z156" s="8"/>
    </row>
    <row r="157" ht="15.7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8"/>
      <c r="W157" s="8"/>
      <c r="X157" s="8"/>
      <c r="Y157" s="8"/>
      <c r="Z157" s="8"/>
    </row>
    <row r="158" ht="15.7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8"/>
      <c r="W158" s="8"/>
      <c r="X158" s="8"/>
      <c r="Y158" s="8"/>
      <c r="Z158" s="8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8"/>
      <c r="W159" s="8"/>
      <c r="X159" s="8"/>
      <c r="Y159" s="8"/>
      <c r="Z159" s="8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8"/>
      <c r="W160" s="8"/>
      <c r="X160" s="8"/>
      <c r="Y160" s="8"/>
      <c r="Z160" s="8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8"/>
      <c r="W161" s="8"/>
      <c r="X161" s="8"/>
      <c r="Y161" s="8"/>
      <c r="Z161" s="8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8"/>
      <c r="W162" s="8"/>
      <c r="X162" s="8"/>
      <c r="Y162" s="8"/>
      <c r="Z162" s="8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8"/>
      <c r="W163" s="8"/>
      <c r="X163" s="8"/>
      <c r="Y163" s="8"/>
      <c r="Z163" s="8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8"/>
      <c r="W164" s="8"/>
      <c r="X164" s="8"/>
      <c r="Y164" s="8"/>
      <c r="Z164" s="8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8"/>
      <c r="W165" s="8"/>
      <c r="X165" s="8"/>
      <c r="Y165" s="8"/>
      <c r="Z165" s="8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8"/>
      <c r="W166" s="8"/>
      <c r="X166" s="8"/>
      <c r="Y166" s="8"/>
      <c r="Z166" s="8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8"/>
      <c r="W167" s="8"/>
      <c r="X167" s="8"/>
      <c r="Y167" s="8"/>
      <c r="Z167" s="8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8"/>
      <c r="W168" s="8"/>
      <c r="X168" s="8"/>
      <c r="Y168" s="8"/>
      <c r="Z168" s="8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8"/>
      <c r="W169" s="8"/>
      <c r="X169" s="8"/>
      <c r="Y169" s="8"/>
      <c r="Z169" s="8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8"/>
      <c r="W170" s="8"/>
      <c r="X170" s="8"/>
      <c r="Y170" s="8"/>
      <c r="Z170" s="8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8"/>
      <c r="W171" s="8"/>
      <c r="X171" s="8"/>
      <c r="Y171" s="8"/>
      <c r="Z171" s="8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8"/>
      <c r="W172" s="8"/>
      <c r="X172" s="8"/>
      <c r="Y172" s="8"/>
      <c r="Z172" s="8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8"/>
      <c r="W173" s="8"/>
      <c r="X173" s="8"/>
      <c r="Y173" s="8"/>
      <c r="Z173" s="8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8"/>
      <c r="W174" s="8"/>
      <c r="X174" s="8"/>
      <c r="Y174" s="8"/>
      <c r="Z174" s="8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8"/>
      <c r="W175" s="8"/>
      <c r="X175" s="8"/>
      <c r="Y175" s="8"/>
      <c r="Z175" s="8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8"/>
      <c r="W176" s="8"/>
      <c r="X176" s="8"/>
      <c r="Y176" s="8"/>
      <c r="Z176" s="8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8"/>
      <c r="W177" s="8"/>
      <c r="X177" s="8"/>
      <c r="Y177" s="8"/>
      <c r="Z177" s="8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8"/>
      <c r="W178" s="8"/>
      <c r="X178" s="8"/>
      <c r="Y178" s="8"/>
      <c r="Z178" s="8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8"/>
      <c r="W179" s="8"/>
      <c r="X179" s="8"/>
      <c r="Y179" s="8"/>
      <c r="Z179" s="8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8"/>
      <c r="W180" s="8"/>
      <c r="X180" s="8"/>
      <c r="Y180" s="8"/>
      <c r="Z180" s="8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8"/>
      <c r="W181" s="8"/>
      <c r="X181" s="8"/>
      <c r="Y181" s="8"/>
      <c r="Z181" s="8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8"/>
      <c r="W182" s="8"/>
      <c r="X182" s="8"/>
      <c r="Y182" s="8"/>
      <c r="Z182" s="8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8"/>
      <c r="W183" s="8"/>
      <c r="X183" s="8"/>
      <c r="Y183" s="8"/>
      <c r="Z183" s="8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8"/>
      <c r="W184" s="8"/>
      <c r="X184" s="8"/>
      <c r="Y184" s="8"/>
      <c r="Z184" s="8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8"/>
      <c r="W185" s="8"/>
      <c r="X185" s="8"/>
      <c r="Y185" s="8"/>
      <c r="Z185" s="8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8"/>
      <c r="W186" s="8"/>
      <c r="X186" s="8"/>
      <c r="Y186" s="8"/>
      <c r="Z186" s="8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8"/>
      <c r="W187" s="8"/>
      <c r="X187" s="8"/>
      <c r="Y187" s="8"/>
      <c r="Z187" s="8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8"/>
      <c r="W188" s="8"/>
      <c r="X188" s="8"/>
      <c r="Y188" s="8"/>
      <c r="Z188" s="8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8"/>
      <c r="W189" s="8"/>
      <c r="X189" s="8"/>
      <c r="Y189" s="8"/>
      <c r="Z189" s="8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8"/>
      <c r="W190" s="8"/>
      <c r="X190" s="8"/>
      <c r="Y190" s="8"/>
      <c r="Z190" s="8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8"/>
      <c r="W191" s="8"/>
      <c r="X191" s="8"/>
      <c r="Y191" s="8"/>
      <c r="Z191" s="8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8"/>
      <c r="W192" s="8"/>
      <c r="X192" s="8"/>
      <c r="Y192" s="8"/>
      <c r="Z192" s="8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8"/>
      <c r="W193" s="8"/>
      <c r="X193" s="8"/>
      <c r="Y193" s="8"/>
      <c r="Z193" s="8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8"/>
      <c r="W194" s="8"/>
      <c r="X194" s="8"/>
      <c r="Y194" s="8"/>
      <c r="Z194" s="8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8"/>
      <c r="W195" s="8"/>
      <c r="X195" s="8"/>
      <c r="Y195" s="8"/>
      <c r="Z195" s="8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8"/>
      <c r="W196" s="8"/>
      <c r="X196" s="8"/>
      <c r="Y196" s="8"/>
      <c r="Z196" s="8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8"/>
      <c r="W197" s="8"/>
      <c r="X197" s="8"/>
      <c r="Y197" s="8"/>
      <c r="Z197" s="8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8"/>
      <c r="W198" s="8"/>
      <c r="X198" s="8"/>
      <c r="Y198" s="8"/>
      <c r="Z198" s="8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8"/>
      <c r="W199" s="8"/>
      <c r="X199" s="8"/>
      <c r="Y199" s="8"/>
      <c r="Z199" s="8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8"/>
      <c r="W200" s="8"/>
      <c r="X200" s="8"/>
      <c r="Y200" s="8"/>
      <c r="Z200" s="8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8"/>
      <c r="W201" s="8"/>
      <c r="X201" s="8"/>
      <c r="Y201" s="8"/>
      <c r="Z201" s="8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8"/>
      <c r="W202" s="8"/>
      <c r="X202" s="8"/>
      <c r="Y202" s="8"/>
      <c r="Z202" s="8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8"/>
      <c r="W203" s="8"/>
      <c r="X203" s="8"/>
      <c r="Y203" s="8"/>
      <c r="Z203" s="8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8"/>
      <c r="W204" s="8"/>
      <c r="X204" s="8"/>
      <c r="Y204" s="8"/>
      <c r="Z204" s="8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8"/>
      <c r="W205" s="8"/>
      <c r="X205" s="8"/>
      <c r="Y205" s="8"/>
      <c r="Z205" s="8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8"/>
      <c r="W206" s="8"/>
      <c r="X206" s="8"/>
      <c r="Y206" s="8"/>
      <c r="Z206" s="8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8"/>
      <c r="W207" s="8"/>
      <c r="X207" s="8"/>
      <c r="Y207" s="8"/>
      <c r="Z207" s="8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8"/>
      <c r="W208" s="8"/>
      <c r="X208" s="8"/>
      <c r="Y208" s="8"/>
      <c r="Z208" s="8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8"/>
      <c r="W209" s="8"/>
      <c r="X209" s="8"/>
      <c r="Y209" s="8"/>
      <c r="Z209" s="8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8"/>
      <c r="W210" s="8"/>
      <c r="X210" s="8"/>
      <c r="Y210" s="8"/>
      <c r="Z210" s="8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8"/>
      <c r="W211" s="8"/>
      <c r="X211" s="8"/>
      <c r="Y211" s="8"/>
      <c r="Z211" s="8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8"/>
      <c r="W212" s="8"/>
      <c r="X212" s="8"/>
      <c r="Y212" s="8"/>
      <c r="Z212" s="8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8"/>
      <c r="W213" s="8"/>
      <c r="X213" s="8"/>
      <c r="Y213" s="8"/>
      <c r="Z213" s="8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8"/>
      <c r="W214" s="8"/>
      <c r="X214" s="8"/>
      <c r="Y214" s="8"/>
      <c r="Z214" s="8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8"/>
      <c r="W215" s="8"/>
      <c r="X215" s="8"/>
      <c r="Y215" s="8"/>
      <c r="Z215" s="8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8"/>
      <c r="W216" s="8"/>
      <c r="X216" s="8"/>
      <c r="Y216" s="8"/>
      <c r="Z216" s="8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8"/>
      <c r="W217" s="8"/>
      <c r="X217" s="8"/>
      <c r="Y217" s="8"/>
      <c r="Z217" s="8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8"/>
      <c r="W218" s="8"/>
      <c r="X218" s="8"/>
      <c r="Y218" s="8"/>
      <c r="Z218" s="8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8"/>
      <c r="W219" s="8"/>
      <c r="X219" s="8"/>
      <c r="Y219" s="8"/>
      <c r="Z219" s="8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8"/>
      <c r="W220" s="8"/>
      <c r="X220" s="8"/>
      <c r="Y220" s="8"/>
      <c r="Z220" s="8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8"/>
      <c r="W221" s="8"/>
      <c r="X221" s="8"/>
      <c r="Y221" s="8"/>
      <c r="Z221" s="8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8"/>
      <c r="W222" s="8"/>
      <c r="X222" s="8"/>
      <c r="Y222" s="8"/>
      <c r="Z222" s="8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8"/>
      <c r="W223" s="8"/>
      <c r="X223" s="8"/>
      <c r="Y223" s="8"/>
      <c r="Z223" s="8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8"/>
      <c r="W224" s="8"/>
      <c r="X224" s="8"/>
      <c r="Y224" s="8"/>
      <c r="Z224" s="8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8"/>
      <c r="W225" s="8"/>
      <c r="X225" s="8"/>
      <c r="Y225" s="8"/>
      <c r="Z225" s="8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8"/>
      <c r="W226" s="8"/>
      <c r="X226" s="8"/>
      <c r="Y226" s="8"/>
      <c r="Z226" s="8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8"/>
      <c r="W227" s="8"/>
      <c r="X227" s="8"/>
      <c r="Y227" s="8"/>
      <c r="Z227" s="8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8"/>
      <c r="W228" s="8"/>
      <c r="X228" s="8"/>
      <c r="Y228" s="8"/>
      <c r="Z228" s="8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8"/>
      <c r="W229" s="8"/>
      <c r="X229" s="8"/>
      <c r="Y229" s="8"/>
      <c r="Z229" s="8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8"/>
      <c r="W230" s="8"/>
      <c r="X230" s="8"/>
      <c r="Y230" s="8"/>
      <c r="Z230" s="8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8"/>
      <c r="W231" s="8"/>
      <c r="X231" s="8"/>
      <c r="Y231" s="8"/>
      <c r="Z231" s="8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8"/>
      <c r="W232" s="8"/>
      <c r="X232" s="8"/>
      <c r="Y232" s="8"/>
      <c r="Z232" s="8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8"/>
      <c r="W233" s="8"/>
      <c r="X233" s="8"/>
      <c r="Y233" s="8"/>
      <c r="Z233" s="8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8"/>
      <c r="W234" s="8"/>
      <c r="X234" s="8"/>
      <c r="Y234" s="8"/>
      <c r="Z234" s="8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8"/>
      <c r="W235" s="8"/>
      <c r="X235" s="8"/>
      <c r="Y235" s="8"/>
      <c r="Z235" s="8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8"/>
      <c r="W236" s="8"/>
      <c r="X236" s="8"/>
      <c r="Y236" s="8"/>
      <c r="Z236" s="8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8"/>
      <c r="W237" s="8"/>
      <c r="X237" s="8"/>
      <c r="Y237" s="8"/>
      <c r="Z237" s="8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8"/>
      <c r="W238" s="8"/>
      <c r="X238" s="8"/>
      <c r="Y238" s="8"/>
      <c r="Z238" s="8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8"/>
      <c r="W239" s="8"/>
      <c r="X239" s="8"/>
      <c r="Y239" s="8"/>
      <c r="Z239" s="8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8"/>
      <c r="W240" s="8"/>
      <c r="X240" s="8"/>
      <c r="Y240" s="8"/>
      <c r="Z240" s="8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8"/>
      <c r="W241" s="8"/>
      <c r="X241" s="8"/>
      <c r="Y241" s="8"/>
      <c r="Z241" s="8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8"/>
      <c r="W242" s="8"/>
      <c r="X242" s="8"/>
      <c r="Y242" s="8"/>
      <c r="Z242" s="8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8"/>
      <c r="W243" s="8"/>
      <c r="X243" s="8"/>
      <c r="Y243" s="8"/>
      <c r="Z243" s="8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8"/>
      <c r="W244" s="8"/>
      <c r="X244" s="8"/>
      <c r="Y244" s="8"/>
      <c r="Z244" s="8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8"/>
      <c r="W245" s="8"/>
      <c r="X245" s="8"/>
      <c r="Y245" s="8"/>
      <c r="Z245" s="8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8"/>
      <c r="W246" s="8"/>
      <c r="X246" s="8"/>
      <c r="Y246" s="8"/>
      <c r="Z246" s="8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8"/>
      <c r="W247" s="8"/>
      <c r="X247" s="8"/>
      <c r="Y247" s="8"/>
      <c r="Z247" s="8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8"/>
      <c r="W248" s="8"/>
      <c r="X248" s="8"/>
      <c r="Y248" s="8"/>
      <c r="Z248" s="8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8"/>
      <c r="W249" s="8"/>
      <c r="X249" s="8"/>
      <c r="Y249" s="8"/>
      <c r="Z249" s="8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8"/>
      <c r="W250" s="8"/>
      <c r="X250" s="8"/>
      <c r="Y250" s="8"/>
      <c r="Z250" s="8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8"/>
      <c r="W251" s="8"/>
      <c r="X251" s="8"/>
      <c r="Y251" s="8"/>
      <c r="Z251" s="8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8"/>
      <c r="W252" s="8"/>
      <c r="X252" s="8"/>
      <c r="Y252" s="8"/>
      <c r="Z252" s="8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8"/>
      <c r="W253" s="8"/>
      <c r="X253" s="8"/>
      <c r="Y253" s="8"/>
      <c r="Z253" s="8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8"/>
      <c r="W254" s="8"/>
      <c r="X254" s="8"/>
      <c r="Y254" s="8"/>
      <c r="Z254" s="8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8"/>
      <c r="W255" s="8"/>
      <c r="X255" s="8"/>
      <c r="Y255" s="8"/>
      <c r="Z255" s="8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8"/>
      <c r="W256" s="8"/>
      <c r="X256" s="8"/>
      <c r="Y256" s="8"/>
      <c r="Z256" s="8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8"/>
      <c r="W257" s="8"/>
      <c r="X257" s="8"/>
      <c r="Y257" s="8"/>
      <c r="Z257" s="8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8"/>
      <c r="W258" s="8"/>
      <c r="X258" s="8"/>
      <c r="Y258" s="8"/>
      <c r="Z258" s="8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8"/>
      <c r="W259" s="8"/>
      <c r="X259" s="8"/>
      <c r="Y259" s="8"/>
      <c r="Z259" s="8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8"/>
      <c r="W260" s="8"/>
      <c r="X260" s="8"/>
      <c r="Y260" s="8"/>
      <c r="Z260" s="8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8"/>
      <c r="W261" s="8"/>
      <c r="X261" s="8"/>
      <c r="Y261" s="8"/>
      <c r="Z261" s="8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8"/>
      <c r="W262" s="8"/>
      <c r="X262" s="8"/>
      <c r="Y262" s="8"/>
      <c r="Z262" s="8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8"/>
      <c r="W263" s="8"/>
      <c r="X263" s="8"/>
      <c r="Y263" s="8"/>
      <c r="Z263" s="8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8"/>
      <c r="W264" s="8"/>
      <c r="X264" s="8"/>
      <c r="Y264" s="8"/>
      <c r="Z264" s="8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8"/>
      <c r="W265" s="8"/>
      <c r="X265" s="8"/>
      <c r="Y265" s="8"/>
      <c r="Z265" s="8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8"/>
      <c r="W266" s="8"/>
      <c r="X266" s="8"/>
      <c r="Y266" s="8"/>
      <c r="Z266" s="8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rowBreaks count="1" manualBreakCount="1">
    <brk id="40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60"/>
      <c r="B1" s="261" t="s">
        <v>172</v>
      </c>
      <c r="U1" s="260"/>
      <c r="V1" s="8"/>
      <c r="W1" s="8"/>
      <c r="X1" s="8"/>
      <c r="Y1" s="8"/>
      <c r="Z1" s="8"/>
    </row>
    <row r="2">
      <c r="A2" s="260"/>
      <c r="B2" s="262" t="s">
        <v>173</v>
      </c>
      <c r="U2" s="260"/>
      <c r="V2" s="8"/>
      <c r="W2" s="8"/>
      <c r="X2" s="8"/>
      <c r="Y2" s="8"/>
      <c r="Z2" s="8"/>
    </row>
    <row r="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8"/>
      <c r="W3" s="8"/>
      <c r="X3" s="8"/>
      <c r="Y3" s="8"/>
      <c r="Z3" s="8"/>
    </row>
    <row r="4">
      <c r="A4" s="260"/>
      <c r="B4" s="260" t="s">
        <v>174</v>
      </c>
      <c r="C4" s="260"/>
      <c r="D4" s="260" t="s">
        <v>6</v>
      </c>
      <c r="E4" s="260"/>
      <c r="F4" s="260"/>
      <c r="G4" s="260"/>
      <c r="H4" s="260"/>
      <c r="I4" s="260"/>
      <c r="J4" s="260"/>
      <c r="K4" s="260"/>
      <c r="L4" s="260"/>
      <c r="M4" s="260" t="s">
        <v>175</v>
      </c>
      <c r="N4" s="260"/>
      <c r="O4" s="260"/>
      <c r="P4" s="260"/>
      <c r="Q4" s="260"/>
      <c r="R4" s="260"/>
      <c r="S4" s="260"/>
      <c r="T4" s="260"/>
      <c r="U4" s="260"/>
      <c r="V4" s="8"/>
      <c r="W4" s="8"/>
      <c r="X4" s="8"/>
      <c r="Y4" s="8"/>
      <c r="Z4" s="8"/>
    </row>
    <row r="5">
      <c r="A5" s="260"/>
      <c r="B5" s="260" t="s">
        <v>176</v>
      </c>
      <c r="C5" s="260"/>
      <c r="D5" s="260" t="s">
        <v>6</v>
      </c>
      <c r="E5" s="260"/>
      <c r="F5" s="260"/>
      <c r="G5" s="260"/>
      <c r="H5" s="260"/>
      <c r="I5" s="260"/>
      <c r="J5" s="260"/>
      <c r="K5" s="260"/>
      <c r="L5" s="260"/>
      <c r="M5" s="260" t="s">
        <v>177</v>
      </c>
      <c r="N5" s="260"/>
      <c r="O5" s="260"/>
      <c r="P5" s="260"/>
      <c r="Q5" s="260"/>
      <c r="R5" s="260"/>
      <c r="S5" s="260"/>
      <c r="T5" s="260"/>
      <c r="U5" s="260"/>
      <c r="V5" s="8"/>
      <c r="W5" s="8"/>
      <c r="X5" s="8"/>
      <c r="Y5" s="8"/>
      <c r="Z5" s="8"/>
    </row>
    <row r="6">
      <c r="A6" s="260"/>
      <c r="B6" s="260" t="s">
        <v>178</v>
      </c>
      <c r="C6" s="260"/>
      <c r="D6" s="260" t="s">
        <v>6</v>
      </c>
      <c r="E6" s="260"/>
      <c r="F6" s="260"/>
      <c r="G6" s="260"/>
      <c r="H6" s="260"/>
      <c r="I6" s="260"/>
      <c r="J6" s="260"/>
      <c r="K6" s="260"/>
      <c r="L6" s="260"/>
      <c r="M6" s="260" t="s">
        <v>179</v>
      </c>
      <c r="N6" s="260"/>
      <c r="O6" s="260"/>
      <c r="P6" s="260"/>
      <c r="Q6" s="260"/>
      <c r="R6" s="260"/>
      <c r="S6" s="260"/>
      <c r="T6" s="260"/>
      <c r="U6" s="260"/>
      <c r="V6" s="8"/>
      <c r="W6" s="8"/>
      <c r="X6" s="8"/>
      <c r="Y6" s="8"/>
      <c r="Z6" s="8"/>
    </row>
    <row r="7">
      <c r="A7" s="260"/>
      <c r="B7" s="260" t="s">
        <v>180</v>
      </c>
      <c r="C7" s="260"/>
      <c r="D7" s="260" t="s">
        <v>6</v>
      </c>
      <c r="E7" s="260"/>
      <c r="F7" s="260"/>
      <c r="G7" s="260"/>
      <c r="H7" s="260"/>
      <c r="I7" s="260"/>
      <c r="J7" s="260"/>
      <c r="K7" s="260"/>
      <c r="L7" s="260"/>
      <c r="M7" s="8"/>
      <c r="N7" s="260"/>
      <c r="O7" s="260"/>
      <c r="P7" s="260"/>
      <c r="Q7" s="260"/>
      <c r="R7" s="260"/>
      <c r="S7" s="263"/>
      <c r="U7" s="260"/>
      <c r="V7" s="8"/>
      <c r="W7" s="8"/>
      <c r="X7" s="8"/>
      <c r="Y7" s="8"/>
      <c r="Z7" s="8"/>
    </row>
    <row r="8">
      <c r="A8" s="260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4" t="s">
        <v>167</v>
      </c>
      <c r="U8" s="260"/>
      <c r="V8" s="8"/>
      <c r="W8" s="8"/>
      <c r="X8" s="8"/>
      <c r="Y8" s="8"/>
      <c r="Z8" s="8"/>
    </row>
    <row r="9">
      <c r="A9" s="260"/>
      <c r="B9" s="265" t="s">
        <v>181</v>
      </c>
      <c r="C9" s="266" t="s">
        <v>182</v>
      </c>
      <c r="D9" s="5"/>
      <c r="E9" s="23"/>
      <c r="F9" s="267" t="s">
        <v>183</v>
      </c>
      <c r="G9" s="37"/>
      <c r="H9" s="37"/>
      <c r="I9" s="37"/>
      <c r="J9" s="37"/>
      <c r="K9" s="38"/>
      <c r="L9" s="267" t="s">
        <v>184</v>
      </c>
      <c r="M9" s="37"/>
      <c r="N9" s="37"/>
      <c r="O9" s="37"/>
      <c r="P9" s="37"/>
      <c r="Q9" s="37"/>
      <c r="R9" s="37"/>
      <c r="S9" s="38"/>
      <c r="T9" s="265" t="s">
        <v>185</v>
      </c>
      <c r="U9" s="260"/>
      <c r="V9" s="8"/>
      <c r="W9" s="8"/>
      <c r="X9" s="8"/>
      <c r="Y9" s="8"/>
      <c r="Z9" s="8"/>
    </row>
    <row r="10">
      <c r="A10" s="260"/>
      <c r="B10" s="12"/>
      <c r="C10" s="135"/>
      <c r="E10" s="109"/>
      <c r="F10" s="268" t="s">
        <v>186</v>
      </c>
      <c r="G10" s="268" t="s">
        <v>187</v>
      </c>
      <c r="H10" s="268" t="s">
        <v>188</v>
      </c>
      <c r="I10" s="269" t="s">
        <v>189</v>
      </c>
      <c r="J10" s="23"/>
      <c r="K10" s="268" t="s">
        <v>190</v>
      </c>
      <c r="L10" s="265" t="s">
        <v>191</v>
      </c>
      <c r="M10" s="265" t="s">
        <v>192</v>
      </c>
      <c r="N10" s="267" t="s">
        <v>193</v>
      </c>
      <c r="O10" s="37"/>
      <c r="P10" s="37"/>
      <c r="Q10" s="37"/>
      <c r="R10" s="37"/>
      <c r="S10" s="38"/>
      <c r="T10" s="12"/>
      <c r="U10" s="270"/>
      <c r="V10" s="8"/>
      <c r="W10" s="8"/>
      <c r="X10" s="8"/>
      <c r="Y10" s="8"/>
      <c r="Z10" s="8"/>
    </row>
    <row r="11">
      <c r="A11" s="260"/>
      <c r="B11" s="12"/>
      <c r="C11" s="135"/>
      <c r="E11" s="109"/>
      <c r="F11" s="12"/>
      <c r="G11" s="12"/>
      <c r="H11" s="12"/>
      <c r="I11" s="135"/>
      <c r="J11" s="109"/>
      <c r="K11" s="12"/>
      <c r="L11" s="12"/>
      <c r="M11" s="12"/>
      <c r="N11" s="267" t="s">
        <v>194</v>
      </c>
      <c r="O11" s="37"/>
      <c r="P11" s="38"/>
      <c r="Q11" s="267" t="s">
        <v>195</v>
      </c>
      <c r="R11" s="37"/>
      <c r="S11" s="38"/>
      <c r="T11" s="12"/>
      <c r="U11" s="270"/>
      <c r="V11" s="8"/>
      <c r="W11" s="8"/>
      <c r="X11" s="8"/>
      <c r="Y11" s="8"/>
      <c r="Z11" s="8"/>
    </row>
    <row r="12">
      <c r="A12" s="260"/>
      <c r="B12" s="18"/>
      <c r="C12" s="49"/>
      <c r="D12" s="11"/>
      <c r="E12" s="50"/>
      <c r="F12" s="18"/>
      <c r="G12" s="18"/>
      <c r="H12" s="18"/>
      <c r="I12" s="49"/>
      <c r="J12" s="50"/>
      <c r="K12" s="18"/>
      <c r="L12" s="18"/>
      <c r="M12" s="18"/>
      <c r="N12" s="271" t="s">
        <v>196</v>
      </c>
      <c r="O12" s="271" t="s">
        <v>197</v>
      </c>
      <c r="P12" s="271" t="s">
        <v>198</v>
      </c>
      <c r="Q12" s="271" t="s">
        <v>196</v>
      </c>
      <c r="R12" s="271" t="s">
        <v>199</v>
      </c>
      <c r="S12" s="271" t="s">
        <v>200</v>
      </c>
      <c r="T12" s="18"/>
      <c r="U12" s="260"/>
      <c r="V12" s="8"/>
      <c r="W12" s="8"/>
      <c r="X12" s="8"/>
      <c r="Y12" s="8"/>
      <c r="Z12" s="8"/>
    </row>
    <row r="13">
      <c r="A13" s="260"/>
      <c r="B13" s="272" t="s">
        <v>201</v>
      </c>
      <c r="C13" s="273" t="s">
        <v>202</v>
      </c>
      <c r="D13" s="37"/>
      <c r="E13" s="38"/>
      <c r="F13" s="272" t="s">
        <v>203</v>
      </c>
      <c r="G13" s="272" t="s">
        <v>204</v>
      </c>
      <c r="H13" s="272" t="s">
        <v>205</v>
      </c>
      <c r="I13" s="273" t="s">
        <v>206</v>
      </c>
      <c r="J13" s="38"/>
      <c r="K13" s="272" t="s">
        <v>207</v>
      </c>
      <c r="L13" s="272" t="s">
        <v>208</v>
      </c>
      <c r="M13" s="272" t="s">
        <v>209</v>
      </c>
      <c r="N13" s="272" t="s">
        <v>210</v>
      </c>
      <c r="O13" s="272" t="s">
        <v>211</v>
      </c>
      <c r="P13" s="272" t="s">
        <v>212</v>
      </c>
      <c r="Q13" s="272" t="s">
        <v>213</v>
      </c>
      <c r="R13" s="272" t="s">
        <v>214</v>
      </c>
      <c r="S13" s="272" t="s">
        <v>215</v>
      </c>
      <c r="T13" s="272" t="s">
        <v>216</v>
      </c>
      <c r="U13" s="260"/>
      <c r="V13" s="8"/>
      <c r="W13" s="8"/>
      <c r="X13" s="8"/>
      <c r="Y13" s="8"/>
      <c r="Z13" s="8"/>
    </row>
    <row r="14">
      <c r="A14" s="274"/>
      <c r="B14" s="275">
        <f>DPA!B31</f>
        <v>5</v>
      </c>
      <c r="C14" s="275" t="str">
        <f>DPA!C31</f>
        <v>BELANJA DAERAH</v>
      </c>
      <c r="D14" s="275"/>
      <c r="E14" s="275"/>
      <c r="F14" s="275"/>
      <c r="G14" s="275"/>
      <c r="H14" s="275"/>
      <c r="I14" s="275"/>
      <c r="J14" s="275"/>
      <c r="K14" s="276">
        <f>DPA!S31</f>
        <v>94371800</v>
      </c>
      <c r="L14" s="277"/>
      <c r="M14" s="277">
        <f t="shared" ref="M14:M15" si="1">K14</f>
        <v>94371800</v>
      </c>
      <c r="N14" s="278"/>
      <c r="O14" s="278"/>
      <c r="P14" s="278"/>
      <c r="Q14" s="278"/>
      <c r="R14" s="277"/>
      <c r="S14" s="277"/>
      <c r="T14" s="277"/>
      <c r="U14" s="279"/>
      <c r="V14" s="72"/>
      <c r="W14" s="72"/>
      <c r="X14" s="72"/>
      <c r="Y14" s="72"/>
      <c r="Z14" s="72"/>
    </row>
    <row r="15">
      <c r="A15" s="274"/>
      <c r="B15" s="275" t="str">
        <f>DPA!B32</f>
        <v>5.1</v>
      </c>
      <c r="C15" s="275" t="str">
        <f>DPA!C32</f>
        <v>BELANJA OPERASI</v>
      </c>
      <c r="D15" s="275"/>
      <c r="E15" s="275"/>
      <c r="F15" s="277"/>
      <c r="G15" s="280"/>
      <c r="H15" s="280"/>
      <c r="I15" s="280"/>
      <c r="J15" s="280"/>
      <c r="K15" s="276">
        <f>DPA!S32</f>
        <v>32999400</v>
      </c>
      <c r="L15" s="277"/>
      <c r="M15" s="277">
        <f t="shared" si="1"/>
        <v>32999400</v>
      </c>
      <c r="N15" s="278"/>
      <c r="O15" s="278"/>
      <c r="P15" s="278"/>
      <c r="Q15" s="278"/>
      <c r="R15" s="277"/>
      <c r="S15" s="277"/>
      <c r="T15" s="277"/>
      <c r="U15" s="279"/>
      <c r="V15" s="72"/>
      <c r="W15" s="72"/>
      <c r="X15" s="72"/>
      <c r="Y15" s="72"/>
      <c r="Z15" s="72"/>
    </row>
    <row r="16">
      <c r="A16" s="274"/>
      <c r="B16" s="275"/>
      <c r="C16" s="275"/>
      <c r="D16" s="275"/>
      <c r="E16" s="275"/>
      <c r="F16" s="277"/>
      <c r="G16" s="280"/>
      <c r="H16" s="280"/>
      <c r="I16" s="280"/>
      <c r="J16" s="280"/>
      <c r="K16" s="276"/>
      <c r="L16" s="277"/>
      <c r="M16" s="277"/>
      <c r="N16" s="278"/>
      <c r="O16" s="278"/>
      <c r="P16" s="278"/>
      <c r="Q16" s="278"/>
      <c r="R16" s="277"/>
      <c r="S16" s="277"/>
      <c r="T16" s="277"/>
      <c r="U16" s="279"/>
      <c r="V16" s="72"/>
      <c r="W16" s="72"/>
      <c r="X16" s="72"/>
      <c r="Y16" s="72"/>
      <c r="Z16" s="72"/>
    </row>
    <row r="17">
      <c r="A17" s="274"/>
      <c r="B17" s="275" t="str">
        <f>DPA!B34</f>
        <v> 5.2.2.</v>
      </c>
      <c r="C17" s="275" t="str">
        <f>DPA!C34</f>
        <v> Belanja Barang dan Jasa</v>
      </c>
      <c r="D17" s="275"/>
      <c r="E17" s="275"/>
      <c r="F17" s="277"/>
      <c r="G17" s="280"/>
      <c r="H17" s="280"/>
      <c r="I17" s="280"/>
      <c r="J17" s="280"/>
      <c r="K17" s="276">
        <f>DPA!S34</f>
        <v>32999400</v>
      </c>
      <c r="L17" s="277"/>
      <c r="M17" s="277">
        <f>K17</f>
        <v>32999400</v>
      </c>
      <c r="N17" s="278"/>
      <c r="O17" s="278"/>
      <c r="P17" s="278"/>
      <c r="Q17" s="278"/>
      <c r="R17" s="185"/>
      <c r="S17" s="185"/>
      <c r="T17" s="277"/>
      <c r="U17" s="279"/>
      <c r="V17" s="72"/>
      <c r="W17" s="72"/>
      <c r="X17" s="72"/>
      <c r="Y17" s="72"/>
      <c r="Z17" s="72"/>
    </row>
    <row r="18">
      <c r="A18" s="274"/>
      <c r="B18" s="275"/>
      <c r="C18" s="275"/>
      <c r="D18" s="275"/>
      <c r="E18" s="275"/>
      <c r="F18" s="277"/>
      <c r="G18" s="280"/>
      <c r="H18" s="280"/>
      <c r="I18" s="280"/>
      <c r="J18" s="280"/>
      <c r="K18" s="276"/>
      <c r="L18" s="277"/>
      <c r="M18" s="277"/>
      <c r="N18" s="278"/>
      <c r="O18" s="278"/>
      <c r="P18" s="278"/>
      <c r="Q18" s="278"/>
      <c r="R18" s="277"/>
      <c r="S18" s="278"/>
      <c r="T18" s="277"/>
      <c r="U18" s="279"/>
      <c r="V18" s="72"/>
      <c r="W18" s="72"/>
      <c r="X18" s="72"/>
      <c r="Y18" s="72"/>
      <c r="Z18" s="72"/>
    </row>
    <row r="19">
      <c r="A19" s="274"/>
      <c r="B19" s="275" t="str">
        <f>DPA!B36</f>
        <v> 5.2.2.01</v>
      </c>
      <c r="C19" s="275" t="str">
        <f>DPA!C36</f>
        <v>Belanja Bahan Pakai Habis</v>
      </c>
      <c r="D19" s="275"/>
      <c r="E19" s="275"/>
      <c r="F19" s="277"/>
      <c r="G19" s="280"/>
      <c r="H19" s="280"/>
      <c r="I19" s="280"/>
      <c r="J19" s="280"/>
      <c r="K19" s="276">
        <f>DPA!S36</f>
        <v>1791400</v>
      </c>
      <c r="L19" s="277"/>
      <c r="M19" s="277">
        <f>K19</f>
        <v>1791400</v>
      </c>
      <c r="N19" s="278"/>
      <c r="O19" s="278"/>
      <c r="P19" s="278"/>
      <c r="Q19" s="278"/>
      <c r="R19" s="277"/>
      <c r="S19" s="278"/>
      <c r="T19" s="277"/>
      <c r="U19" s="279"/>
      <c r="V19" s="72"/>
      <c r="W19" s="72"/>
      <c r="X19" s="72"/>
      <c r="Y19" s="72"/>
      <c r="Z19" s="72"/>
    </row>
    <row r="20">
      <c r="A20" s="260"/>
      <c r="B20" s="275"/>
      <c r="C20" s="275"/>
      <c r="D20" s="275"/>
      <c r="E20" s="275"/>
      <c r="F20" s="281"/>
      <c r="G20" s="282"/>
      <c r="H20" s="282"/>
      <c r="I20" s="282"/>
      <c r="J20" s="282"/>
      <c r="K20" s="276"/>
      <c r="L20" s="281"/>
      <c r="M20" s="277"/>
      <c r="N20" s="283"/>
      <c r="O20" s="283"/>
      <c r="P20" s="278"/>
      <c r="Q20" s="283"/>
      <c r="R20" s="277"/>
      <c r="S20" s="278"/>
      <c r="T20" s="277"/>
      <c r="U20" s="270"/>
      <c r="V20" s="8"/>
      <c r="W20" s="8"/>
      <c r="X20" s="8"/>
      <c r="Y20" s="8"/>
      <c r="Z20" s="8"/>
    </row>
    <row r="21" ht="15.75" customHeight="1">
      <c r="A21" s="260"/>
      <c r="B21" s="275" t="str">
        <f>DPA!B38</f>
        <v>5.1.02.01.01.0024</v>
      </c>
      <c r="C21" s="275" t="str">
        <f>DPA!C38</f>
        <v>Belanja Alat/Bahan untuk Kegiatan Kantor-Alat Tulis Kantor</v>
      </c>
      <c r="D21" s="275"/>
      <c r="E21" s="275"/>
      <c r="F21" s="281"/>
      <c r="G21" s="282"/>
      <c r="H21" s="282"/>
      <c r="I21" s="282"/>
      <c r="J21" s="282"/>
      <c r="K21" s="276">
        <f>DPA!S38</f>
        <v>656000</v>
      </c>
      <c r="L21" s="277"/>
      <c r="M21" s="277">
        <f t="shared" ref="M21:M28" si="2">K21</f>
        <v>656000</v>
      </c>
      <c r="N21" s="278"/>
      <c r="O21" s="278"/>
      <c r="P21" s="278"/>
      <c r="Q21" s="278"/>
      <c r="R21" s="277"/>
      <c r="S21" s="278"/>
      <c r="T21" s="277"/>
      <c r="U21" s="270"/>
      <c r="V21" s="8"/>
      <c r="W21" s="8"/>
      <c r="X21" s="8"/>
      <c r="Y21" s="8"/>
      <c r="Z21" s="8"/>
    </row>
    <row r="22" ht="15.75" customHeight="1">
      <c r="A22" s="260"/>
      <c r="B22" s="275"/>
      <c r="C22" s="275"/>
      <c r="D22" s="284" t="str">
        <f>DPA!D39</f>
        <v>-</v>
      </c>
      <c r="E22" s="285" t="str">
        <f>DPA!E39</f>
        <v>Alat Tulis Kantor
Spesifikasi : Stof Map Folio</v>
      </c>
      <c r="F22" s="281"/>
      <c r="G22" s="282"/>
      <c r="H22" s="282"/>
      <c r="I22" s="282"/>
      <c r="J22" s="282"/>
      <c r="K22" s="276">
        <f>DPA!S39</f>
        <v>330000</v>
      </c>
      <c r="L22" s="277"/>
      <c r="M22" s="277">
        <f t="shared" si="2"/>
        <v>330000</v>
      </c>
      <c r="N22" s="278"/>
      <c r="O22" s="278"/>
      <c r="P22" s="278"/>
      <c r="Q22" s="278"/>
      <c r="R22" s="277"/>
      <c r="S22" s="278"/>
      <c r="T22" s="277"/>
      <c r="U22" s="270"/>
      <c r="V22" s="8"/>
      <c r="W22" s="8"/>
      <c r="X22" s="8"/>
      <c r="Y22" s="8"/>
      <c r="Z22" s="8"/>
    </row>
    <row r="23" ht="15.75" customHeight="1">
      <c r="A23" s="260"/>
      <c r="B23" s="275"/>
      <c r="C23" s="275"/>
      <c r="D23" s="284" t="str">
        <f>DPA!D40</f>
        <v>-</v>
      </c>
      <c r="E23" s="285" t="str">
        <f>DPA!E40</f>
        <v>Alat Tulis Kantor
Spesifikasi : Trigonal Clip No. 5 Atom</v>
      </c>
      <c r="F23" s="281"/>
      <c r="G23" s="282"/>
      <c r="H23" s="283"/>
      <c r="I23" s="282"/>
      <c r="J23" s="282"/>
      <c r="K23" s="276">
        <f>DPA!S40</f>
        <v>66000</v>
      </c>
      <c r="L23" s="281"/>
      <c r="M23" s="277">
        <f t="shared" si="2"/>
        <v>66000</v>
      </c>
      <c r="N23" s="283"/>
      <c r="O23" s="283"/>
      <c r="P23" s="283"/>
      <c r="Q23" s="283"/>
      <c r="R23" s="281"/>
      <c r="S23" s="283"/>
      <c r="T23" s="277"/>
      <c r="U23" s="270"/>
      <c r="V23" s="8"/>
      <c r="W23" s="8"/>
      <c r="X23" s="8"/>
      <c r="Y23" s="8"/>
      <c r="Z23" s="8"/>
    </row>
    <row r="24" ht="15.75" customHeight="1">
      <c r="A24" s="260"/>
      <c r="B24" s="275"/>
      <c r="C24" s="275"/>
      <c r="D24" s="284" t="str">
        <f>DPA!D41</f>
        <v>-</v>
      </c>
      <c r="E24" s="285" t="str">
        <f>DPA!E41</f>
        <v>Alat Tulis Kantor
Spesifikasi : Box File Jumbo Bantex</v>
      </c>
      <c r="F24" s="281"/>
      <c r="G24" s="272"/>
      <c r="H24" s="282"/>
      <c r="I24" s="282"/>
      <c r="J24" s="282"/>
      <c r="K24" s="276">
        <f>DPA!S41</f>
        <v>260000</v>
      </c>
      <c r="L24" s="281"/>
      <c r="M24" s="277">
        <f t="shared" si="2"/>
        <v>260000</v>
      </c>
      <c r="N24" s="283"/>
      <c r="O24" s="283"/>
      <c r="P24" s="283"/>
      <c r="Q24" s="283"/>
      <c r="R24" s="281"/>
      <c r="S24" s="283"/>
      <c r="T24" s="277"/>
      <c r="U24" s="260"/>
      <c r="V24" s="8"/>
      <c r="W24" s="8"/>
      <c r="X24" s="8"/>
      <c r="Y24" s="8"/>
      <c r="Z24" s="8"/>
    </row>
    <row r="25" ht="15.75" customHeight="1">
      <c r="A25" s="260"/>
      <c r="B25" s="275"/>
      <c r="C25" s="275"/>
      <c r="D25" s="275"/>
      <c r="E25" s="275"/>
      <c r="F25" s="281"/>
      <c r="G25" s="272"/>
      <c r="H25" s="282"/>
      <c r="I25" s="282"/>
      <c r="J25" s="282"/>
      <c r="K25" s="276" t="str">
        <f>DPA!S42</f>
        <v/>
      </c>
      <c r="L25" s="281"/>
      <c r="M25" s="277" t="str">
        <f t="shared" si="2"/>
        <v/>
      </c>
      <c r="N25" s="283"/>
      <c r="O25" s="283"/>
      <c r="P25" s="283"/>
      <c r="Q25" s="283"/>
      <c r="R25" s="281"/>
      <c r="S25" s="283"/>
      <c r="T25" s="277"/>
      <c r="U25" s="260"/>
      <c r="V25" s="8"/>
      <c r="W25" s="8"/>
      <c r="X25" s="8"/>
      <c r="Y25" s="8"/>
      <c r="Z25" s="8"/>
    </row>
    <row r="26" ht="15.75" customHeight="1">
      <c r="A26" s="260"/>
      <c r="B26" s="275" t="str">
        <f>DPA!B43</f>
        <v>5.1.02.01.01.0025</v>
      </c>
      <c r="C26" s="275" t="str">
        <f>DPA!C43</f>
        <v>Belanja Alat/Bahan untuk Kegiatan Kantor- Kertas dan Cover</v>
      </c>
      <c r="D26" s="275"/>
      <c r="E26" s="275"/>
      <c r="F26" s="281"/>
      <c r="G26" s="272"/>
      <c r="H26" s="282"/>
      <c r="I26" s="282"/>
      <c r="J26" s="282"/>
      <c r="K26" s="276">
        <f>DPA!S43</f>
        <v>441400</v>
      </c>
      <c r="L26" s="281"/>
      <c r="M26" s="277">
        <f t="shared" si="2"/>
        <v>441400</v>
      </c>
      <c r="N26" s="283"/>
      <c r="O26" s="283"/>
      <c r="P26" s="283"/>
      <c r="Q26" s="283"/>
      <c r="R26" s="281"/>
      <c r="S26" s="283"/>
      <c r="T26" s="277"/>
      <c r="U26" s="260"/>
      <c r="V26" s="8"/>
      <c r="W26" s="8"/>
      <c r="X26" s="8"/>
      <c r="Y26" s="8"/>
      <c r="Z26" s="8"/>
    </row>
    <row r="27" ht="15.75" customHeight="1">
      <c r="A27" s="260"/>
      <c r="B27" s="275"/>
      <c r="C27" s="275"/>
      <c r="D27" s="284" t="str">
        <f>DPA!D44</f>
        <v>-</v>
      </c>
      <c r="E27" s="285" t="str">
        <f>DPA!E44</f>
        <v>Kertas dan Cover
Spesifikasi : Kertas HVS A4 70 gr</v>
      </c>
      <c r="F27" s="281"/>
      <c r="G27" s="272"/>
      <c r="H27" s="282"/>
      <c r="I27" s="282"/>
      <c r="J27" s="282"/>
      <c r="K27" s="276">
        <f>DPA!S44</f>
        <v>164800</v>
      </c>
      <c r="L27" s="281"/>
      <c r="M27" s="277">
        <f t="shared" si="2"/>
        <v>164800</v>
      </c>
      <c r="N27" s="283"/>
      <c r="O27" s="283"/>
      <c r="P27" s="283"/>
      <c r="Q27" s="283"/>
      <c r="R27" s="281"/>
      <c r="S27" s="283"/>
      <c r="T27" s="277"/>
      <c r="U27" s="260"/>
      <c r="V27" s="8"/>
      <c r="W27" s="8"/>
      <c r="X27" s="8"/>
      <c r="Y27" s="8"/>
      <c r="Z27" s="8"/>
    </row>
    <row r="28" ht="15.75" customHeight="1">
      <c r="A28" s="260"/>
      <c r="B28" s="275"/>
      <c r="C28" s="275"/>
      <c r="D28" s="284" t="str">
        <f>DPA!D45</f>
        <v>-</v>
      </c>
      <c r="E28" s="285" t="str">
        <f>DPA!E45</f>
        <v>Kertas dan Cover
Spesifikasi : Kertas HVS F4 70 gr</v>
      </c>
      <c r="F28" s="281"/>
      <c r="G28" s="272"/>
      <c r="H28" s="282"/>
      <c r="I28" s="282"/>
      <c r="J28" s="282"/>
      <c r="K28" s="276">
        <f>DPA!S45</f>
        <v>276600</v>
      </c>
      <c r="L28" s="281"/>
      <c r="M28" s="277">
        <f t="shared" si="2"/>
        <v>276600</v>
      </c>
      <c r="N28" s="283"/>
      <c r="O28" s="283"/>
      <c r="P28" s="283"/>
      <c r="Q28" s="283"/>
      <c r="R28" s="281"/>
      <c r="S28" s="283"/>
      <c r="T28" s="277"/>
      <c r="U28" s="260"/>
      <c r="V28" s="8"/>
      <c r="W28" s="8"/>
      <c r="X28" s="8"/>
      <c r="Y28" s="8"/>
      <c r="Z28" s="8"/>
    </row>
    <row r="29" ht="15.75" customHeight="1">
      <c r="A29" s="260"/>
      <c r="B29" s="275"/>
      <c r="C29" s="275"/>
      <c r="D29" s="275"/>
      <c r="E29" s="275"/>
      <c r="F29" s="281"/>
      <c r="G29" s="272"/>
      <c r="H29" s="282"/>
      <c r="I29" s="282"/>
      <c r="J29" s="282"/>
      <c r="K29" s="276"/>
      <c r="L29" s="281"/>
      <c r="M29" s="277"/>
      <c r="N29" s="283"/>
      <c r="O29" s="283"/>
      <c r="P29" s="283"/>
      <c r="Q29" s="283"/>
      <c r="R29" s="281"/>
      <c r="S29" s="283"/>
      <c r="T29" s="277"/>
      <c r="U29" s="260"/>
      <c r="V29" s="8"/>
      <c r="W29" s="8"/>
      <c r="X29" s="8"/>
      <c r="Y29" s="8"/>
      <c r="Z29" s="8"/>
    </row>
    <row r="30" ht="15.75" customHeight="1">
      <c r="A30" s="260"/>
      <c r="B30" s="275" t="str">
        <f>DPA!B47</f>
        <v>5.1.02.01.01.0026</v>
      </c>
      <c r="C30" s="275" t="str">
        <f>DPA!C47</f>
        <v>Belanja Alat/Bahan untuk Kegiatan Kantor- Bahan Cetak</v>
      </c>
      <c r="D30" s="275"/>
      <c r="E30" s="275"/>
      <c r="F30" s="281"/>
      <c r="G30" s="272"/>
      <c r="H30" s="282"/>
      <c r="I30" s="282"/>
      <c r="J30" s="282"/>
      <c r="K30" s="276">
        <f>DPA!S47</f>
        <v>544000</v>
      </c>
      <c r="L30" s="281"/>
      <c r="M30" s="277">
        <f t="shared" ref="M30:M31" si="3">K30</f>
        <v>544000</v>
      </c>
      <c r="N30" s="283"/>
      <c r="O30" s="283"/>
      <c r="P30" s="283"/>
      <c r="Q30" s="283"/>
      <c r="R30" s="281"/>
      <c r="S30" s="283"/>
      <c r="T30" s="277"/>
      <c r="U30" s="260"/>
      <c r="V30" s="8"/>
      <c r="W30" s="8"/>
      <c r="X30" s="8"/>
      <c r="Y30" s="8"/>
      <c r="Z30" s="8"/>
    </row>
    <row r="31" ht="15.75" customHeight="1">
      <c r="A31" s="260"/>
      <c r="B31" s="275"/>
      <c r="C31" s="275"/>
      <c r="D31" s="284" t="str">
        <f>DPA!D48</f>
        <v>-</v>
      </c>
      <c r="E31" s="285" t="str">
        <f>DPA!E48</f>
        <v>Foto Copy
Spesifikasi : Foto copy Hitam Putih-HVS
A4/F4</v>
      </c>
      <c r="F31" s="281"/>
      <c r="G31" s="272"/>
      <c r="H31" s="282"/>
      <c r="I31" s="282"/>
      <c r="J31" s="282"/>
      <c r="K31" s="276">
        <f>DPA!S48</f>
        <v>544000</v>
      </c>
      <c r="L31" s="277"/>
      <c r="M31" s="277">
        <f t="shared" si="3"/>
        <v>544000</v>
      </c>
      <c r="N31" s="278"/>
      <c r="O31" s="278"/>
      <c r="P31" s="278"/>
      <c r="Q31" s="278"/>
      <c r="R31" s="277"/>
      <c r="S31" s="278"/>
      <c r="T31" s="277"/>
      <c r="U31" s="260"/>
      <c r="V31" s="8"/>
      <c r="W31" s="8"/>
      <c r="X31" s="8"/>
      <c r="Y31" s="8"/>
      <c r="Z31" s="8"/>
    </row>
    <row r="32" ht="15.75" customHeight="1">
      <c r="A32" s="260"/>
      <c r="B32" s="275"/>
      <c r="C32" s="275"/>
      <c r="D32" s="275"/>
      <c r="E32" s="275"/>
      <c r="F32" s="281"/>
      <c r="G32" s="272"/>
      <c r="H32" s="282"/>
      <c r="I32" s="282"/>
      <c r="J32" s="282"/>
      <c r="K32" s="276"/>
      <c r="L32" s="281"/>
      <c r="M32" s="277"/>
      <c r="N32" s="283"/>
      <c r="O32" s="283"/>
      <c r="P32" s="283"/>
      <c r="Q32" s="283"/>
      <c r="R32" s="281"/>
      <c r="S32" s="283"/>
      <c r="T32" s="277"/>
      <c r="U32" s="260"/>
      <c r="V32" s="8"/>
      <c r="W32" s="8"/>
      <c r="X32" s="8"/>
      <c r="Y32" s="8"/>
      <c r="Z32" s="8"/>
    </row>
    <row r="33" ht="15.75" customHeight="1">
      <c r="A33" s="260"/>
      <c r="B33" s="275" t="str">
        <f>DPA!B50</f>
        <v>5.1.02.01.01.0027</v>
      </c>
      <c r="C33" s="275" t="str">
        <f>DPA!C50</f>
        <v>Belanja Alat/Bahan untuk Kegiatan Kantor-Benda Pos</v>
      </c>
      <c r="D33" s="275"/>
      <c r="E33" s="275"/>
      <c r="F33" s="281"/>
      <c r="G33" s="272"/>
      <c r="H33" s="282"/>
      <c r="I33" s="282"/>
      <c r="J33" s="282"/>
      <c r="K33" s="276">
        <f>DPA!S50</f>
        <v>150000</v>
      </c>
      <c r="L33" s="281"/>
      <c r="M33" s="277">
        <f t="shared" ref="M33:M34" si="4">K33</f>
        <v>150000</v>
      </c>
      <c r="N33" s="283"/>
      <c r="O33" s="283"/>
      <c r="P33" s="283"/>
      <c r="Q33" s="283"/>
      <c r="R33" s="281"/>
      <c r="S33" s="283"/>
      <c r="T33" s="277"/>
      <c r="U33" s="260"/>
      <c r="V33" s="8"/>
      <c r="W33" s="8"/>
      <c r="X33" s="8"/>
      <c r="Y33" s="8"/>
      <c r="Z33" s="8"/>
    </row>
    <row r="34" ht="15.75" customHeight="1">
      <c r="A34" s="260"/>
      <c r="B34" s="275"/>
      <c r="C34" s="275"/>
      <c r="D34" s="284" t="str">
        <f>DPA!D51</f>
        <v>-</v>
      </c>
      <c r="E34" s="284" t="str">
        <f>DPA!E51</f>
        <v>Materai
Spesifikasi: Materai 10.000</v>
      </c>
      <c r="F34" s="281"/>
      <c r="G34" s="272"/>
      <c r="H34" s="282"/>
      <c r="I34" s="282"/>
      <c r="J34" s="282"/>
      <c r="K34" s="276">
        <f>DPA!S51</f>
        <v>150000</v>
      </c>
      <c r="L34" s="281"/>
      <c r="M34" s="277">
        <f t="shared" si="4"/>
        <v>150000</v>
      </c>
      <c r="N34" s="283"/>
      <c r="O34" s="283"/>
      <c r="P34" s="283"/>
      <c r="Q34" s="283"/>
      <c r="R34" s="281"/>
      <c r="S34" s="283"/>
      <c r="T34" s="277"/>
      <c r="U34" s="260"/>
      <c r="V34" s="8"/>
      <c r="W34" s="8"/>
      <c r="X34" s="8"/>
      <c r="Y34" s="8"/>
      <c r="Z34" s="8"/>
    </row>
    <row r="35" ht="15.75" customHeight="1">
      <c r="A35" s="274"/>
      <c r="B35" s="275"/>
      <c r="C35" s="275"/>
      <c r="D35" s="275"/>
      <c r="E35" s="275"/>
      <c r="F35" s="277"/>
      <c r="G35" s="271"/>
      <c r="H35" s="280"/>
      <c r="I35" s="280"/>
      <c r="J35" s="280"/>
      <c r="K35" s="276"/>
      <c r="L35" s="277"/>
      <c r="M35" s="277"/>
      <c r="N35" s="278"/>
      <c r="O35" s="278"/>
      <c r="P35" s="278"/>
      <c r="Q35" s="278"/>
      <c r="R35" s="277"/>
      <c r="S35" s="278"/>
      <c r="T35" s="277"/>
      <c r="U35" s="274"/>
      <c r="V35" s="72"/>
      <c r="W35" s="72"/>
      <c r="X35" s="72"/>
      <c r="Y35" s="72"/>
      <c r="Z35" s="72"/>
    </row>
    <row r="36" ht="15.75" customHeight="1">
      <c r="A36" s="260"/>
      <c r="B36" s="275" t="str">
        <f>DPA!B53</f>
        <v>5.1.02.04</v>
      </c>
      <c r="C36" s="275" t="str">
        <f>DPA!C53</f>
        <v>Belanja Perjalanan Dinas</v>
      </c>
      <c r="D36" s="275"/>
      <c r="E36" s="275"/>
      <c r="F36" s="281"/>
      <c r="G36" s="272"/>
      <c r="H36" s="282"/>
      <c r="I36" s="282"/>
      <c r="J36" s="282"/>
      <c r="K36" s="276">
        <f>DPA!S53</f>
        <v>31208000</v>
      </c>
      <c r="L36" s="277"/>
      <c r="M36" s="277">
        <f t="shared" ref="M36:M43" si="5">K36</f>
        <v>31208000</v>
      </c>
      <c r="N36" s="278"/>
      <c r="O36" s="278"/>
      <c r="P36" s="278"/>
      <c r="Q36" s="278"/>
      <c r="R36" s="277"/>
      <c r="S36" s="278"/>
      <c r="T36" s="277"/>
      <c r="U36" s="260"/>
      <c r="V36" s="8"/>
      <c r="W36" s="8"/>
      <c r="X36" s="8"/>
      <c r="Y36" s="8"/>
      <c r="Z36" s="8"/>
    </row>
    <row r="37" ht="15.75" customHeight="1">
      <c r="A37" s="260"/>
      <c r="B37" s="275" t="str">
        <f>DPA!B54</f>
        <v>5.1.02.04.01</v>
      </c>
      <c r="C37" s="275" t="str">
        <f>DPA!C54</f>
        <v>Belanja Perjalanan Dinas Dalam Negeri</v>
      </c>
      <c r="D37" s="275" t="str">
        <f>DPA!D54</f>
        <v/>
      </c>
      <c r="E37" s="275" t="str">
        <f>DPA!E54</f>
        <v/>
      </c>
      <c r="F37" s="281"/>
      <c r="G37" s="272"/>
      <c r="H37" s="282"/>
      <c r="I37" s="282"/>
      <c r="J37" s="282"/>
      <c r="K37" s="276">
        <f>DPA!S54</f>
        <v>31208000</v>
      </c>
      <c r="L37" s="281"/>
      <c r="M37" s="277">
        <f t="shared" si="5"/>
        <v>31208000</v>
      </c>
      <c r="N37" s="283"/>
      <c r="O37" s="283"/>
      <c r="P37" s="283"/>
      <c r="Q37" s="283"/>
      <c r="R37" s="281"/>
      <c r="S37" s="283"/>
      <c r="T37" s="277"/>
      <c r="U37" s="260"/>
      <c r="V37" s="8"/>
      <c r="W37" s="8"/>
      <c r="X37" s="8"/>
      <c r="Y37" s="8"/>
      <c r="Z37" s="8"/>
    </row>
    <row r="38" ht="15.75" customHeight="1">
      <c r="A38" s="260"/>
      <c r="B38" s="275" t="str">
        <f>DPA!B55</f>
        <v>5.1.02.04.01.0001</v>
      </c>
      <c r="C38" s="275" t="str">
        <f>DPA!C55</f>
        <v>Belanja Perjalanan Dinas Biasa</v>
      </c>
      <c r="D38" s="275" t="str">
        <f>DPA!D55</f>
        <v/>
      </c>
      <c r="E38" s="275" t="str">
        <f>DPA!E55</f>
        <v/>
      </c>
      <c r="F38" s="281"/>
      <c r="G38" s="272"/>
      <c r="H38" s="282"/>
      <c r="I38" s="282"/>
      <c r="J38" s="282"/>
      <c r="K38" s="276">
        <f>DPA!S55</f>
        <v>31208000</v>
      </c>
      <c r="L38" s="281"/>
      <c r="M38" s="277">
        <f t="shared" si="5"/>
        <v>31208000</v>
      </c>
      <c r="N38" s="283"/>
      <c r="O38" s="283"/>
      <c r="P38" s="283"/>
      <c r="Q38" s="283"/>
      <c r="R38" s="281"/>
      <c r="S38" s="283"/>
      <c r="T38" s="277"/>
      <c r="U38" s="260"/>
      <c r="V38" s="8"/>
      <c r="W38" s="8"/>
      <c r="X38" s="8"/>
      <c r="Y38" s="8"/>
      <c r="Z38" s="8"/>
    </row>
    <row r="39" ht="15.75" customHeight="1">
      <c r="A39" s="260"/>
      <c r="B39" s="275"/>
      <c r="C39" s="275"/>
      <c r="D39" s="284" t="str">
        <f>DPA!D56</f>
        <v>-</v>
      </c>
      <c r="E39" s="285" t="str">
        <f>DPA!E56</f>
        <v>Penginapan Dalam Negeri di- D.K.I. JAKARTA
Spesifikasi: PEJABAT ESELON III / GOLONGAN IV</v>
      </c>
      <c r="F39" s="281"/>
      <c r="G39" s="272"/>
      <c r="H39" s="282"/>
      <c r="I39" s="282"/>
      <c r="J39" s="282"/>
      <c r="K39" s="276">
        <f>DPA!S56</f>
        <v>7936000</v>
      </c>
      <c r="L39" s="281"/>
      <c r="M39" s="277">
        <f t="shared" si="5"/>
        <v>7936000</v>
      </c>
      <c r="N39" s="283"/>
      <c r="O39" s="283"/>
      <c r="P39" s="283"/>
      <c r="Q39" s="283"/>
      <c r="R39" s="281"/>
      <c r="S39" s="283"/>
      <c r="T39" s="277"/>
      <c r="U39" s="260"/>
      <c r="V39" s="8"/>
      <c r="W39" s="8"/>
      <c r="X39" s="8"/>
      <c r="Y39" s="8"/>
      <c r="Z39" s="8"/>
    </row>
    <row r="40" ht="15.75" customHeight="1">
      <c r="A40" s="274"/>
      <c r="B40" s="275"/>
      <c r="C40" s="275"/>
      <c r="D40" s="284" t="str">
        <f>DPA!D57</f>
        <v>-</v>
      </c>
      <c r="E40" s="285" t="str">
        <f>DPA!E57</f>
        <v>Taxi dari/ke Bandara - Perjalanan Dinas Dalam Negeri
Spesifikasi: BALI</v>
      </c>
      <c r="F40" s="277"/>
      <c r="G40" s="271"/>
      <c r="H40" s="280"/>
      <c r="I40" s="280"/>
      <c r="J40" s="280"/>
      <c r="K40" s="276">
        <f>DPA!S57</f>
        <v>1816000</v>
      </c>
      <c r="L40" s="277"/>
      <c r="M40" s="277">
        <f t="shared" si="5"/>
        <v>1816000</v>
      </c>
      <c r="N40" s="278"/>
      <c r="O40" s="278"/>
      <c r="P40" s="278"/>
      <c r="Q40" s="278"/>
      <c r="R40" s="277"/>
      <c r="S40" s="278"/>
      <c r="T40" s="277"/>
      <c r="U40" s="274"/>
      <c r="V40" s="72"/>
      <c r="W40" s="72"/>
      <c r="X40" s="72"/>
      <c r="Y40" s="72"/>
      <c r="Z40" s="72"/>
    </row>
    <row r="41" ht="15.75" customHeight="1">
      <c r="A41" s="260"/>
      <c r="B41" s="275"/>
      <c r="C41" s="275"/>
      <c r="D41" s="284" t="str">
        <f>DPA!D58</f>
        <v>-</v>
      </c>
      <c r="E41" s="285" t="str">
        <f>DPA!E58</f>
        <v>Taxi dari/ke Bandara - Perjalanan Dinas Dalam Negeri
Spesifikasi: D.K.I. JAKARTA</v>
      </c>
      <c r="F41" s="281"/>
      <c r="G41" s="272"/>
      <c r="H41" s="282"/>
      <c r="I41" s="282"/>
      <c r="J41" s="282"/>
      <c r="K41" s="276">
        <f>DPA!S58</f>
        <v>2048000</v>
      </c>
      <c r="L41" s="277"/>
      <c r="M41" s="277">
        <f t="shared" si="5"/>
        <v>2048000</v>
      </c>
      <c r="N41" s="278"/>
      <c r="O41" s="278"/>
      <c r="P41" s="278"/>
      <c r="Q41" s="278"/>
      <c r="R41" s="277"/>
      <c r="S41" s="278"/>
      <c r="T41" s="277"/>
      <c r="U41" s="260"/>
      <c r="V41" s="8"/>
      <c r="W41" s="8"/>
      <c r="X41" s="8"/>
      <c r="Y41" s="8"/>
      <c r="Z41" s="8"/>
    </row>
    <row r="42" ht="15.75" customHeight="1">
      <c r="A42" s="260"/>
      <c r="B42" s="275"/>
      <c r="C42" s="275"/>
      <c r="D42" s="284" t="str">
        <f>DPA!D59</f>
        <v>-</v>
      </c>
      <c r="E42" s="285" t="str">
        <f>DPA!E59</f>
        <v>Satuan Biaya Tiket Dalam Negeri
Spesifikasi : Denpasar - Jakarta</v>
      </c>
      <c r="F42" s="281"/>
      <c r="G42" s="272"/>
      <c r="H42" s="282"/>
      <c r="I42" s="282"/>
      <c r="J42" s="282"/>
      <c r="K42" s="276">
        <f>DPA!S59</f>
        <v>13048000</v>
      </c>
      <c r="L42" s="281"/>
      <c r="M42" s="277">
        <f t="shared" si="5"/>
        <v>13048000</v>
      </c>
      <c r="N42" s="283"/>
      <c r="O42" s="283"/>
      <c r="P42" s="283"/>
      <c r="Q42" s="283"/>
      <c r="R42" s="281"/>
      <c r="S42" s="283"/>
      <c r="T42" s="277"/>
      <c r="U42" s="260"/>
      <c r="V42" s="8"/>
      <c r="W42" s="8"/>
      <c r="X42" s="8"/>
      <c r="Y42" s="8"/>
      <c r="Z42" s="8"/>
    </row>
    <row r="43" ht="15.75" customHeight="1">
      <c r="A43" s="260"/>
      <c r="B43" s="275"/>
      <c r="C43" s="275"/>
      <c r="D43" s="284" t="str">
        <f>DPA!D60</f>
        <v>-</v>
      </c>
      <c r="E43" s="285" t="str">
        <f>DPA!E60</f>
        <v>Uang Harian Perjalanan Dinas Luar Kota/Luar Daerah
Spesifikasi: D.K.I. JAKARTA</v>
      </c>
      <c r="F43" s="281"/>
      <c r="G43" s="272"/>
      <c r="H43" s="282"/>
      <c r="I43" s="282"/>
      <c r="J43" s="282"/>
      <c r="K43" s="276">
        <f>DPA!S60</f>
        <v>6360000</v>
      </c>
      <c r="L43" s="281"/>
      <c r="M43" s="277">
        <f t="shared" si="5"/>
        <v>6360000</v>
      </c>
      <c r="N43" s="283"/>
      <c r="O43" s="283"/>
      <c r="P43" s="283"/>
      <c r="Q43" s="283"/>
      <c r="R43" s="281"/>
      <c r="S43" s="283"/>
      <c r="T43" s="277"/>
      <c r="U43" s="260"/>
      <c r="V43" s="8"/>
      <c r="W43" s="8"/>
      <c r="X43" s="8"/>
      <c r="Y43" s="8"/>
      <c r="Z43" s="8"/>
    </row>
    <row r="44" ht="15.75" customHeight="1">
      <c r="A44" s="260"/>
      <c r="B44" s="275"/>
      <c r="C44" s="275"/>
      <c r="D44" s="275"/>
      <c r="E44" s="275"/>
      <c r="F44" s="281"/>
      <c r="G44" s="272"/>
      <c r="H44" s="282"/>
      <c r="I44" s="282"/>
      <c r="J44" s="282"/>
      <c r="K44" s="276"/>
      <c r="L44" s="277"/>
      <c r="M44" s="277"/>
      <c r="N44" s="278"/>
      <c r="O44" s="278"/>
      <c r="P44" s="278"/>
      <c r="Q44" s="278"/>
      <c r="R44" s="277"/>
      <c r="S44" s="278"/>
      <c r="T44" s="277"/>
      <c r="U44" s="260"/>
      <c r="V44" s="8"/>
      <c r="W44" s="8"/>
      <c r="X44" s="8"/>
      <c r="Y44" s="8"/>
      <c r="Z44" s="8"/>
    </row>
    <row r="45" ht="15.75" customHeight="1">
      <c r="A45" s="260"/>
      <c r="B45" s="275" t="str">
        <f>DPA!B62</f>
        <v>5.2 </v>
      </c>
      <c r="C45" s="275" t="str">
        <f>DPA!C62</f>
        <v>Belanja Modal</v>
      </c>
      <c r="D45" s="275"/>
      <c r="E45" s="275"/>
      <c r="F45" s="281"/>
      <c r="G45" s="272"/>
      <c r="H45" s="282"/>
      <c r="I45" s="282"/>
      <c r="J45" s="282"/>
      <c r="K45" s="276">
        <f>DPA!S62</f>
        <v>61372400</v>
      </c>
      <c r="L45" s="281"/>
      <c r="M45" s="277">
        <f t="shared" ref="M45:M54" si="6">K45</f>
        <v>61372400</v>
      </c>
      <c r="N45" s="283"/>
      <c r="O45" s="283"/>
      <c r="P45" s="283"/>
      <c r="Q45" s="283"/>
      <c r="R45" s="281"/>
      <c r="S45" s="283"/>
      <c r="T45" s="277"/>
      <c r="U45" s="260"/>
      <c r="V45" s="8"/>
      <c r="W45" s="8"/>
      <c r="X45" s="8"/>
      <c r="Y45" s="8"/>
      <c r="Z45" s="8"/>
    </row>
    <row r="46" ht="15.75" customHeight="1">
      <c r="A46" s="260"/>
      <c r="B46" s="275" t="str">
        <f>DPA!B63</f>
        <v>5.2.02</v>
      </c>
      <c r="C46" s="275" t="str">
        <f>DPA!C63</f>
        <v>Belanja Modal Perapatan dan Mesin</v>
      </c>
      <c r="D46" s="275"/>
      <c r="E46" s="275"/>
      <c r="F46" s="281"/>
      <c r="G46" s="272"/>
      <c r="H46" s="282"/>
      <c r="I46" s="282"/>
      <c r="J46" s="282"/>
      <c r="K46" s="276">
        <f>DPA!S63</f>
        <v>61372400</v>
      </c>
      <c r="L46" s="281"/>
      <c r="M46" s="277">
        <f t="shared" si="6"/>
        <v>61372400</v>
      </c>
      <c r="N46" s="283"/>
      <c r="O46" s="283"/>
      <c r="P46" s="283"/>
      <c r="Q46" s="283"/>
      <c r="R46" s="281"/>
      <c r="S46" s="283"/>
      <c r="T46" s="277"/>
      <c r="U46" s="260"/>
      <c r="V46" s="8"/>
      <c r="W46" s="8"/>
      <c r="X46" s="8"/>
      <c r="Y46" s="8"/>
      <c r="Z46" s="8"/>
    </row>
    <row r="47" ht="15.75" customHeight="1">
      <c r="A47" s="260"/>
      <c r="B47" s="275" t="str">
        <f>DPA!B64</f>
        <v>5.2.02.05</v>
      </c>
      <c r="C47" s="275" t="str">
        <f>DPA!C64</f>
        <v>Belanja Modal Alat Kantor dan Rumah Tangga</v>
      </c>
      <c r="D47" s="275"/>
      <c r="E47" s="275"/>
      <c r="F47" s="281"/>
      <c r="G47" s="272"/>
      <c r="H47" s="282"/>
      <c r="I47" s="282"/>
      <c r="J47" s="282"/>
      <c r="K47" s="276">
        <f>DPA!S64</f>
        <v>61372400</v>
      </c>
      <c r="L47" s="281"/>
      <c r="M47" s="277">
        <f t="shared" si="6"/>
        <v>61372400</v>
      </c>
      <c r="N47" s="283"/>
      <c r="O47" s="283"/>
      <c r="P47" s="283"/>
      <c r="Q47" s="283"/>
      <c r="R47" s="281"/>
      <c r="S47" s="283"/>
      <c r="T47" s="277"/>
      <c r="U47" s="260"/>
      <c r="V47" s="8"/>
      <c r="W47" s="8"/>
      <c r="X47" s="8"/>
      <c r="Y47" s="8"/>
      <c r="Z47" s="8"/>
    </row>
    <row r="48" ht="15.75" customHeight="1">
      <c r="A48" s="260"/>
      <c r="B48" s="275" t="str">
        <f>DPA!B65</f>
        <v>5.2.02.05.001</v>
      </c>
      <c r="C48" s="275" t="str">
        <f>DPA!C65</f>
        <v>Belanja Modal Alat Kantor</v>
      </c>
      <c r="D48" s="275"/>
      <c r="E48" s="275"/>
      <c r="F48" s="281"/>
      <c r="G48" s="272"/>
      <c r="H48" s="282"/>
      <c r="I48" s="282"/>
      <c r="J48" s="282"/>
      <c r="K48" s="276">
        <f>DPA!S65</f>
        <v>34347600</v>
      </c>
      <c r="L48" s="281"/>
      <c r="M48" s="277">
        <f t="shared" si="6"/>
        <v>34347600</v>
      </c>
      <c r="N48" s="283"/>
      <c r="O48" s="283"/>
      <c r="P48" s="283"/>
      <c r="Q48" s="283"/>
      <c r="R48" s="281"/>
      <c r="S48" s="283"/>
      <c r="T48" s="277"/>
      <c r="U48" s="260"/>
      <c r="V48" s="8"/>
      <c r="W48" s="8"/>
      <c r="X48" s="8"/>
      <c r="Y48" s="8"/>
      <c r="Z48" s="8"/>
    </row>
    <row r="49" ht="15.75" customHeight="1">
      <c r="A49" s="260"/>
      <c r="B49" s="275" t="str">
        <f>DPA!B66</f>
        <v>5.2.02.05.001.00005</v>
      </c>
      <c r="C49" s="275" t="str">
        <f>DPA!C66</f>
        <v>Belanja Modal Alat Kantor Lainnya</v>
      </c>
      <c r="D49" s="275"/>
      <c r="E49" s="275"/>
      <c r="F49" s="281"/>
      <c r="G49" s="272"/>
      <c r="H49" s="282"/>
      <c r="I49" s="282"/>
      <c r="J49" s="282"/>
      <c r="K49" s="276">
        <f>DPA!S66</f>
        <v>34347600</v>
      </c>
      <c r="L49" s="281"/>
      <c r="M49" s="277">
        <f t="shared" si="6"/>
        <v>34347600</v>
      </c>
      <c r="N49" s="283"/>
      <c r="O49" s="283"/>
      <c r="P49" s="283"/>
      <c r="Q49" s="283"/>
      <c r="R49" s="281"/>
      <c r="S49" s="283"/>
      <c r="T49" s="277"/>
      <c r="U49" s="260"/>
      <c r="V49" s="8"/>
      <c r="W49" s="8"/>
      <c r="X49" s="8"/>
      <c r="Y49" s="8"/>
      <c r="Z49" s="8"/>
    </row>
    <row r="50" ht="15.75" customHeight="1">
      <c r="A50" s="260"/>
      <c r="B50" s="275" t="str">
        <f>DPA!B67</f>
        <v/>
      </c>
      <c r="C50" s="275" t="str">
        <f>DPA!C67</f>
        <v/>
      </c>
      <c r="D50" s="275"/>
      <c r="E50" s="275"/>
      <c r="F50" s="281"/>
      <c r="G50" s="272"/>
      <c r="H50" s="282"/>
      <c r="I50" s="282"/>
      <c r="J50" s="282"/>
      <c r="K50" s="276">
        <f>DPA!S67</f>
        <v>34347600</v>
      </c>
      <c r="L50" s="281"/>
      <c r="M50" s="277">
        <f t="shared" si="6"/>
        <v>34347600</v>
      </c>
      <c r="N50" s="283"/>
      <c r="O50" s="283"/>
      <c r="P50" s="283"/>
      <c r="Q50" s="283"/>
      <c r="R50" s="281"/>
      <c r="S50" s="283"/>
      <c r="T50" s="277"/>
      <c r="U50" s="260"/>
      <c r="V50" s="8"/>
      <c r="W50" s="8"/>
      <c r="X50" s="8"/>
      <c r="Y50" s="8"/>
      <c r="Z50" s="8"/>
    </row>
    <row r="51" ht="15.75" customHeight="1">
      <c r="A51" s="260"/>
      <c r="B51" s="275" t="str">
        <f>DPA!B68</f>
        <v/>
      </c>
      <c r="C51" s="275" t="str">
        <f>DPA!C68</f>
        <v/>
      </c>
      <c r="D51" s="275"/>
      <c r="E51" s="275"/>
      <c r="F51" s="281"/>
      <c r="G51" s="272"/>
      <c r="H51" s="282"/>
      <c r="I51" s="282"/>
      <c r="J51" s="282"/>
      <c r="K51" s="276" t="str">
        <f>DPA!S68</f>
        <v/>
      </c>
      <c r="L51" s="281"/>
      <c r="M51" s="277" t="str">
        <f t="shared" si="6"/>
        <v/>
      </c>
      <c r="N51" s="283"/>
      <c r="O51" s="283"/>
      <c r="P51" s="283"/>
      <c r="Q51" s="283"/>
      <c r="R51" s="281"/>
      <c r="S51" s="283"/>
      <c r="T51" s="277"/>
      <c r="U51" s="260"/>
      <c r="V51" s="8"/>
      <c r="W51" s="8"/>
      <c r="X51" s="8"/>
      <c r="Y51" s="8"/>
      <c r="Z51" s="8"/>
    </row>
    <row r="52" ht="15.75" customHeight="1">
      <c r="A52" s="260"/>
      <c r="B52" s="275" t="str">
        <f>DPA!B69</f>
        <v>5.2.02.05.002</v>
      </c>
      <c r="C52" s="275" t="str">
        <f>DPA!C69</f>
        <v>Belanja Modal Alat Rumah Tangga</v>
      </c>
      <c r="D52" s="275"/>
      <c r="E52" s="275"/>
      <c r="F52" s="281"/>
      <c r="G52" s="272"/>
      <c r="H52" s="282"/>
      <c r="I52" s="282"/>
      <c r="J52" s="282"/>
      <c r="K52" s="276">
        <f>DPA!S69</f>
        <v>27024800</v>
      </c>
      <c r="L52" s="281"/>
      <c r="M52" s="277">
        <f t="shared" si="6"/>
        <v>27024800</v>
      </c>
      <c r="N52" s="283"/>
      <c r="O52" s="283"/>
      <c r="P52" s="283"/>
      <c r="Q52" s="283"/>
      <c r="R52" s="281"/>
      <c r="S52" s="283"/>
      <c r="T52" s="277"/>
      <c r="U52" s="260"/>
      <c r="V52" s="8"/>
      <c r="W52" s="8"/>
      <c r="X52" s="8"/>
      <c r="Y52" s="8"/>
      <c r="Z52" s="8"/>
    </row>
    <row r="53" ht="15.75" customHeight="1">
      <c r="A53" s="260"/>
      <c r="B53" s="275" t="str">
        <f>DPA!B70</f>
        <v>5.2.02.05.002.000
06</v>
      </c>
      <c r="C53" s="275" t="str">
        <f>DPA!C70</f>
        <v>Belanja Modal Alat Rumah Tangga Lainnya (Home Use)</v>
      </c>
      <c r="D53" s="275"/>
      <c r="E53" s="275"/>
      <c r="F53" s="281"/>
      <c r="G53" s="272"/>
      <c r="H53" s="282"/>
      <c r="I53" s="282"/>
      <c r="J53" s="282"/>
      <c r="K53" s="276">
        <f>DPA!S70</f>
        <v>27024800</v>
      </c>
      <c r="L53" s="281"/>
      <c r="M53" s="277">
        <f t="shared" si="6"/>
        <v>27024800</v>
      </c>
      <c r="N53" s="283"/>
      <c r="O53" s="283"/>
      <c r="P53" s="283"/>
      <c r="Q53" s="283"/>
      <c r="R53" s="281"/>
      <c r="S53" s="283"/>
      <c r="T53" s="277"/>
      <c r="U53" s="260"/>
      <c r="V53" s="8"/>
      <c r="W53" s="8"/>
      <c r="X53" s="8"/>
      <c r="Y53" s="8"/>
      <c r="Z53" s="8"/>
    </row>
    <row r="54" ht="15.75" customHeight="1">
      <c r="A54" s="260"/>
      <c r="B54" s="275"/>
      <c r="C54" s="275"/>
      <c r="D54" s="284" t="str">
        <f>DPA!D71</f>
        <v>-</v>
      </c>
      <c r="E54" s="285" t="str">
        <f>DPA!E71</f>
        <v>Televisi
Spesifikasi : Smart TV 70 Inch min. UHD 4K,
Garansi Min. 1 Tahun</v>
      </c>
      <c r="F54" s="281"/>
      <c r="G54" s="272"/>
      <c r="H54" s="282"/>
      <c r="I54" s="282"/>
      <c r="J54" s="282"/>
      <c r="K54" s="276">
        <f>DPA!S71</f>
        <v>27024800</v>
      </c>
      <c r="L54" s="277"/>
      <c r="M54" s="277">
        <f t="shared" si="6"/>
        <v>27024800</v>
      </c>
      <c r="N54" s="278"/>
      <c r="O54" s="278"/>
      <c r="P54" s="278"/>
      <c r="Q54" s="278"/>
      <c r="R54" s="277"/>
      <c r="S54" s="278"/>
      <c r="T54" s="277"/>
      <c r="U54" s="260"/>
      <c r="V54" s="8"/>
      <c r="W54" s="8"/>
      <c r="X54" s="8"/>
      <c r="Y54" s="8"/>
      <c r="Z54" s="8"/>
    </row>
    <row r="55" ht="15.75" customHeight="1">
      <c r="A55" s="260"/>
      <c r="B55" s="275"/>
      <c r="C55" s="275"/>
      <c r="D55" s="275"/>
      <c r="E55" s="275"/>
      <c r="F55" s="281"/>
      <c r="G55" s="272"/>
      <c r="H55" s="282"/>
      <c r="I55" s="282"/>
      <c r="J55" s="282"/>
      <c r="K55" s="276"/>
      <c r="L55" s="281"/>
      <c r="M55" s="277"/>
      <c r="N55" s="283"/>
      <c r="O55" s="283"/>
      <c r="P55" s="283"/>
      <c r="Q55" s="283"/>
      <c r="R55" s="281"/>
      <c r="S55" s="283"/>
      <c r="T55" s="277"/>
      <c r="U55" s="260"/>
      <c r="V55" s="8"/>
      <c r="W55" s="8"/>
      <c r="X55" s="8"/>
      <c r="Y55" s="8"/>
      <c r="Z55" s="8"/>
    </row>
    <row r="56" ht="15.75" customHeight="1">
      <c r="A56" s="260"/>
      <c r="B56" s="260"/>
      <c r="C56" s="260"/>
      <c r="D56" s="260"/>
      <c r="E56" s="8"/>
      <c r="F56" s="260"/>
      <c r="G56" s="260"/>
      <c r="H56" s="260"/>
      <c r="I56" s="260"/>
      <c r="J56" s="260"/>
      <c r="K56" s="270"/>
      <c r="L56" s="270"/>
      <c r="M56" s="270"/>
      <c r="N56" s="270"/>
      <c r="O56" s="260"/>
      <c r="P56" s="270"/>
      <c r="Q56" s="270"/>
      <c r="R56" s="270"/>
      <c r="S56" s="270"/>
      <c r="T56" s="270"/>
      <c r="U56" s="260"/>
      <c r="V56" s="8"/>
      <c r="W56" s="8"/>
      <c r="X56" s="8"/>
      <c r="Y56" s="8"/>
      <c r="Z56" s="8"/>
    </row>
    <row r="57" ht="15.75" customHeight="1">
      <c r="A57" s="260"/>
      <c r="B57" s="260"/>
      <c r="C57" s="260"/>
      <c r="D57" s="260"/>
      <c r="E57" s="8"/>
      <c r="F57" s="260"/>
      <c r="G57" s="260"/>
      <c r="H57" s="260"/>
      <c r="I57" s="260"/>
      <c r="J57" s="260"/>
      <c r="K57" s="270"/>
      <c r="L57" s="270"/>
      <c r="M57" s="270"/>
      <c r="N57" s="270"/>
      <c r="O57" s="260" t="s">
        <v>114</v>
      </c>
      <c r="P57" s="270"/>
      <c r="Q57" s="270"/>
      <c r="R57" s="270"/>
      <c r="S57" s="270"/>
      <c r="T57" s="270"/>
      <c r="U57" s="260"/>
      <c r="V57" s="8"/>
      <c r="W57" s="8"/>
      <c r="X57" s="8"/>
      <c r="Y57" s="8"/>
      <c r="Z57" s="8"/>
    </row>
    <row r="58" ht="15.75" customHeight="1">
      <c r="A58" s="260"/>
      <c r="B58" s="260"/>
      <c r="C58" s="260"/>
      <c r="D58" s="260"/>
      <c r="E58" s="8"/>
      <c r="F58" s="260"/>
      <c r="G58" s="260"/>
      <c r="H58" s="260"/>
      <c r="I58" s="260"/>
      <c r="J58" s="260"/>
      <c r="K58" s="270"/>
      <c r="L58" s="270"/>
      <c r="M58" s="270"/>
      <c r="N58" s="270"/>
      <c r="O58" s="260"/>
      <c r="P58" s="270"/>
      <c r="Q58" s="270"/>
      <c r="R58" s="270"/>
      <c r="S58" s="270"/>
      <c r="T58" s="270"/>
      <c r="U58" s="260"/>
      <c r="V58" s="8"/>
      <c r="W58" s="8"/>
      <c r="X58" s="8"/>
      <c r="Y58" s="8"/>
      <c r="Z58" s="8"/>
    </row>
    <row r="59" ht="15.75" customHeight="1">
      <c r="A59" s="260"/>
      <c r="B59" s="260"/>
      <c r="C59" s="260"/>
      <c r="D59" s="260"/>
      <c r="E59" s="260" t="s">
        <v>168</v>
      </c>
      <c r="F59" s="260"/>
      <c r="G59" s="260"/>
      <c r="H59" s="260"/>
      <c r="I59" s="260"/>
      <c r="J59" s="260"/>
      <c r="K59" s="270"/>
      <c r="L59" s="270"/>
      <c r="M59" s="270"/>
      <c r="N59" s="270"/>
      <c r="O59" s="260" t="s">
        <v>217</v>
      </c>
      <c r="P59" s="270"/>
      <c r="Q59" s="270"/>
      <c r="R59" s="270"/>
      <c r="S59" s="270"/>
      <c r="T59" s="270"/>
      <c r="U59" s="260"/>
      <c r="V59" s="8"/>
      <c r="W59" s="8"/>
      <c r="X59" s="8"/>
      <c r="Y59" s="8"/>
      <c r="Z59" s="8"/>
    </row>
    <row r="60" ht="15.75" customHeight="1">
      <c r="A60" s="260"/>
      <c r="B60" s="260"/>
      <c r="C60" s="260"/>
      <c r="D60" s="260"/>
      <c r="E60" s="256" t="s">
        <v>170</v>
      </c>
      <c r="F60" s="260"/>
      <c r="G60" s="260"/>
      <c r="H60" s="260"/>
      <c r="I60" s="260"/>
      <c r="J60" s="260"/>
      <c r="K60" s="270"/>
      <c r="L60" s="270"/>
      <c r="M60" s="270"/>
      <c r="N60" s="270"/>
      <c r="O60" s="260" t="str">
        <f>DPA!N9</f>
        <v/>
      </c>
      <c r="P60" s="270"/>
      <c r="Q60" s="270"/>
      <c r="R60" s="270"/>
      <c r="S60" s="270"/>
      <c r="T60" s="270"/>
      <c r="U60" s="260"/>
      <c r="V60" s="8"/>
      <c r="W60" s="8"/>
      <c r="X60" s="8"/>
      <c r="Y60" s="8"/>
      <c r="Z60" s="8"/>
    </row>
    <row r="61" ht="15.75" customHeight="1">
      <c r="A61" s="260"/>
      <c r="B61" s="260"/>
      <c r="C61" s="260"/>
      <c r="D61" s="260"/>
      <c r="E61" s="256" t="s">
        <v>171</v>
      </c>
      <c r="F61" s="260"/>
      <c r="G61" s="260"/>
      <c r="H61" s="260"/>
      <c r="I61" s="260"/>
      <c r="J61" s="260"/>
      <c r="K61" s="270"/>
      <c r="L61" s="270"/>
      <c r="M61" s="270"/>
      <c r="N61" s="270"/>
      <c r="O61" s="260"/>
      <c r="P61" s="270"/>
      <c r="Q61" s="270"/>
      <c r="R61" s="270"/>
      <c r="S61" s="270"/>
      <c r="T61" s="270"/>
      <c r="U61" s="260"/>
      <c r="V61" s="8"/>
      <c r="W61" s="8"/>
      <c r="X61" s="8"/>
      <c r="Y61" s="8"/>
      <c r="Z61" s="8"/>
    </row>
    <row r="62" ht="15.75" customHeight="1">
      <c r="A62" s="260"/>
      <c r="B62" s="260"/>
      <c r="C62" s="260"/>
      <c r="D62" s="260"/>
      <c r="E62" s="8"/>
      <c r="F62" s="260"/>
      <c r="G62" s="260"/>
      <c r="H62" s="260"/>
      <c r="I62" s="260"/>
      <c r="J62" s="260"/>
      <c r="K62" s="270"/>
      <c r="L62" s="270"/>
      <c r="M62" s="270"/>
      <c r="N62" s="270"/>
      <c r="O62" s="260"/>
      <c r="P62" s="270"/>
      <c r="Q62" s="270"/>
      <c r="R62" s="270"/>
      <c r="S62" s="270"/>
      <c r="T62" s="270"/>
      <c r="U62" s="260"/>
      <c r="V62" s="8"/>
      <c r="W62" s="8"/>
      <c r="X62" s="8"/>
      <c r="Y62" s="8"/>
      <c r="Z62" s="8"/>
    </row>
    <row r="63" ht="15.75" customHeight="1">
      <c r="A63" s="260"/>
      <c r="B63" s="260"/>
      <c r="C63" s="260"/>
      <c r="D63" s="260"/>
      <c r="E63" s="8"/>
      <c r="F63" s="260"/>
      <c r="G63" s="260"/>
      <c r="H63" s="260"/>
      <c r="I63" s="260"/>
      <c r="J63" s="260"/>
      <c r="K63" s="270"/>
      <c r="L63" s="270"/>
      <c r="M63" s="270"/>
      <c r="N63" s="270"/>
      <c r="O63" s="260"/>
      <c r="P63" s="270"/>
      <c r="Q63" s="270"/>
      <c r="R63" s="270"/>
      <c r="S63" s="270"/>
      <c r="T63" s="270"/>
      <c r="U63" s="260"/>
      <c r="V63" s="8"/>
      <c r="W63" s="8"/>
      <c r="X63" s="8"/>
      <c r="Y63" s="8"/>
      <c r="Z63" s="8"/>
    </row>
    <row r="64" ht="15.75" customHeight="1">
      <c r="A64" s="260"/>
      <c r="B64" s="260"/>
      <c r="C64" s="260"/>
      <c r="D64" s="260"/>
      <c r="E64" s="8"/>
      <c r="F64" s="260"/>
      <c r="G64" s="260"/>
      <c r="H64" s="260"/>
      <c r="I64" s="260"/>
      <c r="J64" s="260"/>
      <c r="K64" s="270"/>
      <c r="L64" s="270"/>
      <c r="M64" s="270"/>
      <c r="N64" s="270"/>
      <c r="O64" s="260"/>
      <c r="P64" s="270"/>
      <c r="Q64" s="270"/>
      <c r="R64" s="270"/>
      <c r="S64" s="270"/>
      <c r="T64" s="270"/>
      <c r="U64" s="260"/>
      <c r="V64" s="8"/>
      <c r="W64" s="8"/>
      <c r="X64" s="8"/>
      <c r="Y64" s="8"/>
      <c r="Z64" s="8"/>
    </row>
    <row r="65" ht="15.75" customHeight="1">
      <c r="A65" s="260"/>
      <c r="B65" s="260"/>
      <c r="C65" s="260"/>
      <c r="D65" s="260"/>
      <c r="E65" s="258" t="s">
        <v>123</v>
      </c>
      <c r="F65" s="260"/>
      <c r="G65" s="260"/>
      <c r="H65" s="260"/>
      <c r="I65" s="260"/>
      <c r="J65" s="260"/>
      <c r="K65" s="270"/>
      <c r="L65" s="270"/>
      <c r="M65" s="270"/>
      <c r="N65" s="270"/>
      <c r="O65" s="286"/>
      <c r="P65" s="270"/>
      <c r="Q65" s="270"/>
      <c r="R65" s="270"/>
      <c r="S65" s="270"/>
      <c r="T65" s="270"/>
      <c r="U65" s="260"/>
      <c r="V65" s="8"/>
      <c r="W65" s="8"/>
      <c r="X65" s="8"/>
      <c r="Y65" s="8"/>
      <c r="Z65" s="8"/>
    </row>
    <row r="66" ht="15.75" customHeight="1">
      <c r="A66" s="260"/>
      <c r="B66" s="260"/>
      <c r="C66" s="260"/>
      <c r="D66" s="260"/>
      <c r="E66" s="256" t="s">
        <v>218</v>
      </c>
      <c r="F66" s="8"/>
      <c r="G66" s="260"/>
      <c r="H66" s="260"/>
      <c r="I66" s="260"/>
      <c r="J66" s="260"/>
      <c r="K66" s="270"/>
      <c r="L66" s="270"/>
      <c r="M66" s="270"/>
      <c r="N66" s="270"/>
      <c r="O66" s="260"/>
      <c r="P66" s="270"/>
      <c r="Q66" s="270"/>
      <c r="R66" s="270"/>
      <c r="S66" s="270"/>
      <c r="T66" s="270"/>
      <c r="U66" s="260"/>
      <c r="V66" s="8"/>
      <c r="W66" s="8"/>
      <c r="X66" s="8"/>
      <c r="Y66" s="8"/>
      <c r="Z66" s="8"/>
    </row>
    <row r="67" ht="15.75" customHeight="1">
      <c r="A67" s="260"/>
      <c r="B67" s="260"/>
      <c r="C67" s="260"/>
      <c r="D67" s="260"/>
      <c r="E67" s="256" t="s">
        <v>125</v>
      </c>
      <c r="F67" s="260"/>
      <c r="G67" s="260"/>
      <c r="H67" s="260"/>
      <c r="I67" s="260"/>
      <c r="J67" s="260"/>
      <c r="K67" s="270"/>
      <c r="L67" s="270"/>
      <c r="M67" s="270"/>
      <c r="N67" s="270"/>
      <c r="O67" s="260"/>
      <c r="P67" s="270"/>
      <c r="Q67" s="270"/>
      <c r="R67" s="270"/>
      <c r="S67" s="270"/>
      <c r="T67" s="270"/>
      <c r="U67" s="260"/>
      <c r="V67" s="8"/>
      <c r="W67" s="8"/>
      <c r="X67" s="8"/>
      <c r="Y67" s="8"/>
      <c r="Z67" s="8"/>
    </row>
    <row r="68" ht="15.75" customHeight="1">
      <c r="A68" s="260"/>
      <c r="B68" s="260"/>
      <c r="C68" s="260"/>
      <c r="D68" s="260"/>
      <c r="E68" s="260"/>
      <c r="F68" s="260"/>
      <c r="G68" s="260"/>
      <c r="H68" s="260"/>
      <c r="I68" s="260"/>
      <c r="J68" s="26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60"/>
      <c r="V68" s="8"/>
      <c r="W68" s="8"/>
      <c r="X68" s="8"/>
      <c r="Y68" s="8"/>
      <c r="Z68" s="8"/>
    </row>
    <row r="69" ht="15.75" customHeight="1">
      <c r="A69" s="260"/>
      <c r="B69" s="260"/>
      <c r="C69" s="260"/>
      <c r="D69" s="260"/>
      <c r="E69" s="260"/>
      <c r="F69" s="260"/>
      <c r="G69" s="260"/>
      <c r="H69" s="260"/>
      <c r="I69" s="260"/>
      <c r="J69" s="26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60"/>
      <c r="V69" s="8"/>
      <c r="W69" s="8"/>
      <c r="X69" s="8"/>
      <c r="Y69" s="8"/>
      <c r="Z69" s="8"/>
    </row>
    <row r="70" ht="15.7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8"/>
      <c r="W70" s="8"/>
      <c r="X70" s="8"/>
      <c r="Y70" s="8"/>
      <c r="Z70" s="8"/>
    </row>
    <row r="71" ht="15.7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8"/>
      <c r="W71" s="8"/>
      <c r="X71" s="8"/>
      <c r="Y71" s="8"/>
      <c r="Z71" s="8"/>
    </row>
    <row r="72" ht="15.7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8"/>
      <c r="W72" s="8"/>
      <c r="X72" s="8"/>
      <c r="Y72" s="8"/>
      <c r="Z72" s="8"/>
    </row>
    <row r="73" ht="15.7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8"/>
      <c r="W73" s="8"/>
      <c r="X73" s="8"/>
      <c r="Y73" s="8"/>
      <c r="Z73" s="8"/>
    </row>
    <row r="74" ht="15.7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8"/>
      <c r="W74" s="8"/>
      <c r="X74" s="8"/>
      <c r="Y74" s="8"/>
      <c r="Z74" s="8"/>
    </row>
    <row r="75" ht="15.7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8"/>
      <c r="W75" s="8"/>
      <c r="X75" s="8"/>
      <c r="Y75" s="8"/>
      <c r="Z75" s="8"/>
    </row>
    <row r="76" ht="15.7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70"/>
      <c r="N76" s="260"/>
      <c r="O76" s="260"/>
      <c r="P76" s="260"/>
      <c r="Q76" s="260"/>
      <c r="R76" s="260"/>
      <c r="S76" s="260"/>
      <c r="T76" s="260"/>
      <c r="U76" s="260"/>
      <c r="V76" s="8"/>
      <c r="W76" s="8"/>
      <c r="X76" s="8"/>
      <c r="Y76" s="8"/>
      <c r="Z76" s="8"/>
    </row>
    <row r="77" ht="15.7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8"/>
      <c r="W77" s="8"/>
      <c r="X77" s="8"/>
      <c r="Y77" s="8"/>
      <c r="Z77" s="8"/>
    </row>
    <row r="78" ht="15.7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8"/>
      <c r="W78" s="8"/>
      <c r="X78" s="8"/>
      <c r="Y78" s="8"/>
      <c r="Z78" s="8"/>
    </row>
    <row r="79" ht="15.7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8"/>
      <c r="W79" s="8"/>
      <c r="X79" s="8"/>
      <c r="Y79" s="8"/>
      <c r="Z79" s="8"/>
    </row>
    <row r="80" ht="15.7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8"/>
      <c r="W80" s="8"/>
      <c r="X80" s="8"/>
      <c r="Y80" s="8"/>
      <c r="Z80" s="8"/>
    </row>
    <row r="81" ht="15.7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70"/>
      <c r="M81" s="260"/>
      <c r="N81" s="260"/>
      <c r="O81" s="260"/>
      <c r="P81" s="260"/>
      <c r="Q81" s="260"/>
      <c r="R81" s="260"/>
      <c r="S81" s="260"/>
      <c r="T81" s="260"/>
      <c r="U81" s="260"/>
      <c r="V81" s="8"/>
      <c r="W81" s="8"/>
      <c r="X81" s="8"/>
      <c r="Y81" s="8"/>
      <c r="Z81" s="8"/>
    </row>
    <row r="82" ht="15.7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70"/>
      <c r="O82" s="260"/>
      <c r="P82" s="260"/>
      <c r="Q82" s="260"/>
      <c r="R82" s="260"/>
      <c r="S82" s="260"/>
      <c r="T82" s="260"/>
      <c r="U82" s="260"/>
      <c r="V82" s="8"/>
      <c r="W82" s="8"/>
      <c r="X82" s="8"/>
      <c r="Y82" s="8"/>
      <c r="Z82" s="8"/>
    </row>
    <row r="83" ht="15.7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8"/>
      <c r="W83" s="8"/>
      <c r="X83" s="8"/>
      <c r="Y83" s="8"/>
      <c r="Z83" s="8"/>
    </row>
    <row r="84" ht="15.7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8"/>
      <c r="W84" s="8"/>
      <c r="X84" s="8"/>
      <c r="Y84" s="8"/>
      <c r="Z84" s="8"/>
    </row>
    <row r="85" ht="15.7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8"/>
      <c r="W85" s="8"/>
      <c r="X85" s="8"/>
      <c r="Y85" s="8"/>
      <c r="Z85" s="8"/>
    </row>
    <row r="86" ht="15.7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8"/>
      <c r="W86" s="8"/>
      <c r="X86" s="8"/>
      <c r="Y86" s="8"/>
      <c r="Z86" s="8"/>
    </row>
    <row r="87" ht="15.7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8"/>
      <c r="W87" s="8"/>
      <c r="X87" s="8"/>
      <c r="Y87" s="8"/>
      <c r="Z87" s="8"/>
    </row>
    <row r="88" ht="15.7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8"/>
      <c r="W88" s="8"/>
      <c r="X88" s="8"/>
      <c r="Y88" s="8"/>
      <c r="Z88" s="8"/>
    </row>
    <row r="89" ht="15.7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8"/>
      <c r="W89" s="8"/>
      <c r="X89" s="8"/>
      <c r="Y89" s="8"/>
      <c r="Z89" s="8"/>
    </row>
    <row r="90" ht="15.7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8"/>
      <c r="W90" s="8"/>
      <c r="X90" s="8"/>
      <c r="Y90" s="8"/>
      <c r="Z90" s="8"/>
    </row>
    <row r="91" ht="15.7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8"/>
      <c r="W91" s="8"/>
      <c r="X91" s="8"/>
      <c r="Y91" s="8"/>
      <c r="Z91" s="8"/>
    </row>
    <row r="92" ht="15.7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8"/>
      <c r="W92" s="8"/>
      <c r="X92" s="8"/>
      <c r="Y92" s="8"/>
      <c r="Z92" s="8"/>
    </row>
    <row r="93" ht="15.7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8"/>
      <c r="W93" s="8"/>
      <c r="X93" s="8"/>
      <c r="Y93" s="8"/>
      <c r="Z93" s="8"/>
    </row>
    <row r="94" ht="15.7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8"/>
      <c r="W94" s="8"/>
      <c r="X94" s="8"/>
      <c r="Y94" s="8"/>
      <c r="Z94" s="8"/>
    </row>
    <row r="95" ht="15.7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8"/>
      <c r="W95" s="8"/>
      <c r="X95" s="8"/>
      <c r="Y95" s="8"/>
      <c r="Z95" s="8"/>
    </row>
    <row r="96" ht="15.7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8"/>
      <c r="W96" s="8"/>
      <c r="X96" s="8"/>
      <c r="Y96" s="8"/>
      <c r="Z96" s="8"/>
    </row>
    <row r="97" ht="15.7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8"/>
      <c r="W97" s="8"/>
      <c r="X97" s="8"/>
      <c r="Y97" s="8"/>
      <c r="Z97" s="8"/>
    </row>
    <row r="98" ht="15.7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8"/>
      <c r="W98" s="8"/>
      <c r="X98" s="8"/>
      <c r="Y98" s="8"/>
      <c r="Z98" s="8"/>
    </row>
    <row r="99" ht="15.7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8"/>
      <c r="W99" s="8"/>
      <c r="X99" s="8"/>
      <c r="Y99" s="8"/>
      <c r="Z99" s="8"/>
    </row>
    <row r="100" ht="15.7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8"/>
      <c r="W100" s="8"/>
      <c r="X100" s="8"/>
      <c r="Y100" s="8"/>
      <c r="Z100" s="8"/>
    </row>
    <row r="101" ht="15.7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8"/>
      <c r="W101" s="8"/>
      <c r="X101" s="8"/>
      <c r="Y101" s="8"/>
      <c r="Z101" s="8"/>
    </row>
    <row r="102" ht="15.7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8"/>
      <c r="W102" s="8"/>
      <c r="X102" s="8"/>
      <c r="Y102" s="8"/>
      <c r="Z102" s="8"/>
    </row>
    <row r="103" ht="15.7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8"/>
      <c r="W103" s="8"/>
      <c r="X103" s="8"/>
      <c r="Y103" s="8"/>
      <c r="Z103" s="8"/>
    </row>
    <row r="104" ht="15.7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8"/>
      <c r="W104" s="8"/>
      <c r="X104" s="8"/>
      <c r="Y104" s="8"/>
      <c r="Z104" s="8"/>
    </row>
    <row r="105" ht="15.7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8"/>
      <c r="W105" s="8"/>
      <c r="X105" s="8"/>
      <c r="Y105" s="8"/>
      <c r="Z105" s="8"/>
    </row>
    <row r="106" ht="15.7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8"/>
      <c r="W106" s="8"/>
      <c r="X106" s="8"/>
      <c r="Y106" s="8"/>
      <c r="Z106" s="8"/>
    </row>
    <row r="107" ht="15.7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8"/>
      <c r="W107" s="8"/>
      <c r="X107" s="8"/>
      <c r="Y107" s="8"/>
      <c r="Z107" s="8"/>
    </row>
    <row r="108" ht="15.7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8"/>
      <c r="W108" s="8"/>
      <c r="X108" s="8"/>
      <c r="Y108" s="8"/>
      <c r="Z108" s="8"/>
    </row>
    <row r="109" ht="15.7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8"/>
      <c r="W109" s="8"/>
      <c r="X109" s="8"/>
      <c r="Y109" s="8"/>
      <c r="Z109" s="8"/>
    </row>
    <row r="110" ht="15.7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8"/>
      <c r="W110" s="8"/>
      <c r="X110" s="8"/>
      <c r="Y110" s="8"/>
      <c r="Z110" s="8"/>
    </row>
    <row r="111" ht="15.7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8"/>
      <c r="W111" s="8"/>
      <c r="X111" s="8"/>
      <c r="Y111" s="8"/>
      <c r="Z111" s="8"/>
    </row>
    <row r="112" ht="15.7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8"/>
      <c r="W112" s="8"/>
      <c r="X112" s="8"/>
      <c r="Y112" s="8"/>
      <c r="Z112" s="8"/>
    </row>
    <row r="113" ht="15.7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8"/>
      <c r="W113" s="8"/>
      <c r="X113" s="8"/>
      <c r="Y113" s="8"/>
      <c r="Z113" s="8"/>
    </row>
    <row r="114" ht="15.7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8"/>
      <c r="W114" s="8"/>
      <c r="X114" s="8"/>
      <c r="Y114" s="8"/>
      <c r="Z114" s="8"/>
    </row>
    <row r="115" ht="15.7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8"/>
      <c r="W115" s="8"/>
      <c r="X115" s="8"/>
      <c r="Y115" s="8"/>
      <c r="Z115" s="8"/>
    </row>
    <row r="116" ht="15.7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8"/>
      <c r="W116" s="8"/>
      <c r="X116" s="8"/>
      <c r="Y116" s="8"/>
      <c r="Z116" s="8"/>
    </row>
    <row r="117" ht="15.7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8"/>
      <c r="W117" s="8"/>
      <c r="X117" s="8"/>
      <c r="Y117" s="8"/>
      <c r="Z117" s="8"/>
    </row>
    <row r="118" ht="15.7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8"/>
      <c r="W118" s="8"/>
      <c r="X118" s="8"/>
      <c r="Y118" s="8"/>
      <c r="Z118" s="8"/>
    </row>
    <row r="119" ht="15.7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8"/>
      <c r="W119" s="8"/>
      <c r="X119" s="8"/>
      <c r="Y119" s="8"/>
      <c r="Z119" s="8"/>
    </row>
    <row r="120" ht="15.7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8"/>
      <c r="W120" s="8"/>
      <c r="X120" s="8"/>
      <c r="Y120" s="8"/>
      <c r="Z120" s="8"/>
    </row>
    <row r="121" ht="15.7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8"/>
      <c r="W121" s="8"/>
      <c r="X121" s="8"/>
      <c r="Y121" s="8"/>
      <c r="Z121" s="8"/>
    </row>
    <row r="122" ht="15.7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8"/>
      <c r="W122" s="8"/>
      <c r="X122" s="8"/>
      <c r="Y122" s="8"/>
      <c r="Z122" s="8"/>
    </row>
    <row r="123" ht="15.7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8"/>
      <c r="W123" s="8"/>
      <c r="X123" s="8"/>
      <c r="Y123" s="8"/>
      <c r="Z123" s="8"/>
    </row>
    <row r="124" ht="15.7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8"/>
      <c r="W124" s="8"/>
      <c r="X124" s="8"/>
      <c r="Y124" s="8"/>
      <c r="Z124" s="8"/>
    </row>
    <row r="125" ht="15.7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8"/>
      <c r="W125" s="8"/>
      <c r="X125" s="8"/>
      <c r="Y125" s="8"/>
      <c r="Z125" s="8"/>
    </row>
    <row r="126" ht="15.7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8"/>
      <c r="W126" s="8"/>
      <c r="X126" s="8"/>
      <c r="Y126" s="8"/>
      <c r="Z126" s="8"/>
    </row>
    <row r="127" ht="15.7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8"/>
      <c r="W127" s="8"/>
      <c r="X127" s="8"/>
      <c r="Y127" s="8"/>
      <c r="Z127" s="8"/>
    </row>
    <row r="128" ht="15.7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8"/>
      <c r="W128" s="8"/>
      <c r="X128" s="8"/>
      <c r="Y128" s="8"/>
      <c r="Z128" s="8"/>
    </row>
    <row r="129" ht="15.7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8"/>
      <c r="W129" s="8"/>
      <c r="X129" s="8"/>
      <c r="Y129" s="8"/>
      <c r="Z129" s="8"/>
    </row>
    <row r="130" ht="15.7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8"/>
      <c r="W130" s="8"/>
      <c r="X130" s="8"/>
      <c r="Y130" s="8"/>
      <c r="Z130" s="8"/>
    </row>
    <row r="131" ht="15.7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8"/>
      <c r="W131" s="8"/>
      <c r="X131" s="8"/>
      <c r="Y131" s="8"/>
      <c r="Z131" s="8"/>
    </row>
    <row r="132" ht="15.7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8"/>
      <c r="W132" s="8"/>
      <c r="X132" s="8"/>
      <c r="Y132" s="8"/>
      <c r="Z132" s="8"/>
    </row>
    <row r="133" ht="15.7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8"/>
      <c r="W133" s="8"/>
      <c r="X133" s="8"/>
      <c r="Y133" s="8"/>
      <c r="Z133" s="8"/>
    </row>
    <row r="134" ht="15.7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8"/>
      <c r="W134" s="8"/>
      <c r="X134" s="8"/>
      <c r="Y134" s="8"/>
      <c r="Z134" s="8"/>
    </row>
    <row r="135" ht="15.7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8"/>
      <c r="W135" s="8"/>
      <c r="X135" s="8"/>
      <c r="Y135" s="8"/>
      <c r="Z135" s="8"/>
    </row>
    <row r="136" ht="15.7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8"/>
      <c r="W136" s="8"/>
      <c r="X136" s="8"/>
      <c r="Y136" s="8"/>
      <c r="Z136" s="8"/>
    </row>
    <row r="137" ht="15.7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8"/>
      <c r="W137" s="8"/>
      <c r="X137" s="8"/>
      <c r="Y137" s="8"/>
      <c r="Z137" s="8"/>
    </row>
    <row r="138" ht="15.7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8"/>
      <c r="W138" s="8"/>
      <c r="X138" s="8"/>
      <c r="Y138" s="8"/>
      <c r="Z138" s="8"/>
    </row>
    <row r="139" ht="15.7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8"/>
      <c r="W139" s="8"/>
      <c r="X139" s="8"/>
      <c r="Y139" s="8"/>
      <c r="Z139" s="8"/>
    </row>
    <row r="140" ht="15.7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8"/>
      <c r="W140" s="8"/>
      <c r="X140" s="8"/>
      <c r="Y140" s="8"/>
      <c r="Z140" s="8"/>
    </row>
    <row r="141" ht="15.7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8"/>
      <c r="W141" s="8"/>
      <c r="X141" s="8"/>
      <c r="Y141" s="8"/>
      <c r="Z141" s="8"/>
    </row>
    <row r="142" ht="15.7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8"/>
      <c r="W142" s="8"/>
      <c r="X142" s="8"/>
      <c r="Y142" s="8"/>
      <c r="Z142" s="8"/>
    </row>
    <row r="143" ht="15.7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8"/>
      <c r="W143" s="8"/>
      <c r="X143" s="8"/>
      <c r="Y143" s="8"/>
      <c r="Z143" s="8"/>
    </row>
    <row r="144" ht="15.7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8"/>
      <c r="W144" s="8"/>
      <c r="X144" s="8"/>
      <c r="Y144" s="8"/>
      <c r="Z144" s="8"/>
    </row>
    <row r="145" ht="15.7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8"/>
      <c r="W145" s="8"/>
      <c r="X145" s="8"/>
      <c r="Y145" s="8"/>
      <c r="Z145" s="8"/>
    </row>
    <row r="146" ht="15.7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8"/>
      <c r="W146" s="8"/>
      <c r="X146" s="8"/>
      <c r="Y146" s="8"/>
      <c r="Z146" s="8"/>
    </row>
    <row r="147" ht="15.7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8"/>
      <c r="W147" s="8"/>
      <c r="X147" s="8"/>
      <c r="Y147" s="8"/>
      <c r="Z147" s="8"/>
    </row>
    <row r="148" ht="15.7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8"/>
      <c r="W148" s="8"/>
      <c r="X148" s="8"/>
      <c r="Y148" s="8"/>
      <c r="Z148" s="8"/>
    </row>
    <row r="149" ht="15.7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8"/>
      <c r="W149" s="8"/>
      <c r="X149" s="8"/>
      <c r="Y149" s="8"/>
      <c r="Z149" s="8"/>
    </row>
    <row r="150" ht="15.7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8"/>
      <c r="W150" s="8"/>
      <c r="X150" s="8"/>
      <c r="Y150" s="8"/>
      <c r="Z150" s="8"/>
    </row>
    <row r="151" ht="15.7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8"/>
      <c r="W151" s="8"/>
      <c r="X151" s="8"/>
      <c r="Y151" s="8"/>
      <c r="Z151" s="8"/>
    </row>
    <row r="152" ht="15.7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8"/>
      <c r="W152" s="8"/>
      <c r="X152" s="8"/>
      <c r="Y152" s="8"/>
      <c r="Z152" s="8"/>
    </row>
    <row r="153" ht="15.7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8"/>
      <c r="W153" s="8"/>
      <c r="X153" s="8"/>
      <c r="Y153" s="8"/>
      <c r="Z153" s="8"/>
    </row>
    <row r="154" ht="15.7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8"/>
      <c r="W154" s="8"/>
      <c r="X154" s="8"/>
      <c r="Y154" s="8"/>
      <c r="Z154" s="8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8"/>
      <c r="W155" s="8"/>
      <c r="X155" s="8"/>
      <c r="Y155" s="8"/>
      <c r="Z155" s="8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8"/>
      <c r="W156" s="8"/>
      <c r="X156" s="8"/>
      <c r="Y156" s="8"/>
      <c r="Z156" s="8"/>
    </row>
    <row r="157" ht="15.7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8"/>
      <c r="W157" s="8"/>
      <c r="X157" s="8"/>
      <c r="Y157" s="8"/>
      <c r="Z157" s="8"/>
    </row>
    <row r="158" ht="15.7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8"/>
      <c r="W158" s="8"/>
      <c r="X158" s="8"/>
      <c r="Y158" s="8"/>
      <c r="Z158" s="8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8"/>
      <c r="W159" s="8"/>
      <c r="X159" s="8"/>
      <c r="Y159" s="8"/>
      <c r="Z159" s="8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8"/>
      <c r="W160" s="8"/>
      <c r="X160" s="8"/>
      <c r="Y160" s="8"/>
      <c r="Z160" s="8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8"/>
      <c r="W161" s="8"/>
      <c r="X161" s="8"/>
      <c r="Y161" s="8"/>
      <c r="Z161" s="8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8"/>
      <c r="W162" s="8"/>
      <c r="X162" s="8"/>
      <c r="Y162" s="8"/>
      <c r="Z162" s="8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8"/>
      <c r="W163" s="8"/>
      <c r="X163" s="8"/>
      <c r="Y163" s="8"/>
      <c r="Z163" s="8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8"/>
      <c r="W164" s="8"/>
      <c r="X164" s="8"/>
      <c r="Y164" s="8"/>
      <c r="Z164" s="8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8"/>
      <c r="W165" s="8"/>
      <c r="X165" s="8"/>
      <c r="Y165" s="8"/>
      <c r="Z165" s="8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8"/>
      <c r="W166" s="8"/>
      <c r="X166" s="8"/>
      <c r="Y166" s="8"/>
      <c r="Z166" s="8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8"/>
      <c r="W167" s="8"/>
      <c r="X167" s="8"/>
      <c r="Y167" s="8"/>
      <c r="Z167" s="8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8"/>
      <c r="W168" s="8"/>
      <c r="X168" s="8"/>
      <c r="Y168" s="8"/>
      <c r="Z168" s="8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8"/>
      <c r="W169" s="8"/>
      <c r="X169" s="8"/>
      <c r="Y169" s="8"/>
      <c r="Z169" s="8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8"/>
      <c r="W170" s="8"/>
      <c r="X170" s="8"/>
      <c r="Y170" s="8"/>
      <c r="Z170" s="8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8"/>
      <c r="W171" s="8"/>
      <c r="X171" s="8"/>
      <c r="Y171" s="8"/>
      <c r="Z171" s="8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8"/>
      <c r="W172" s="8"/>
      <c r="X172" s="8"/>
      <c r="Y172" s="8"/>
      <c r="Z172" s="8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8"/>
      <c r="W173" s="8"/>
      <c r="X173" s="8"/>
      <c r="Y173" s="8"/>
      <c r="Z173" s="8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8"/>
      <c r="W174" s="8"/>
      <c r="X174" s="8"/>
      <c r="Y174" s="8"/>
      <c r="Z174" s="8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8"/>
      <c r="W175" s="8"/>
      <c r="X175" s="8"/>
      <c r="Y175" s="8"/>
      <c r="Z175" s="8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8"/>
      <c r="W176" s="8"/>
      <c r="X176" s="8"/>
      <c r="Y176" s="8"/>
      <c r="Z176" s="8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8"/>
      <c r="W177" s="8"/>
      <c r="X177" s="8"/>
      <c r="Y177" s="8"/>
      <c r="Z177" s="8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8"/>
      <c r="W178" s="8"/>
      <c r="X178" s="8"/>
      <c r="Y178" s="8"/>
      <c r="Z178" s="8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8"/>
      <c r="W179" s="8"/>
      <c r="X179" s="8"/>
      <c r="Y179" s="8"/>
      <c r="Z179" s="8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8"/>
      <c r="W180" s="8"/>
      <c r="X180" s="8"/>
      <c r="Y180" s="8"/>
      <c r="Z180" s="8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8"/>
      <c r="W181" s="8"/>
      <c r="X181" s="8"/>
      <c r="Y181" s="8"/>
      <c r="Z181" s="8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8"/>
      <c r="W182" s="8"/>
      <c r="X182" s="8"/>
      <c r="Y182" s="8"/>
      <c r="Z182" s="8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8"/>
      <c r="W183" s="8"/>
      <c r="X183" s="8"/>
      <c r="Y183" s="8"/>
      <c r="Z183" s="8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8"/>
      <c r="W184" s="8"/>
      <c r="X184" s="8"/>
      <c r="Y184" s="8"/>
      <c r="Z184" s="8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8"/>
      <c r="W185" s="8"/>
      <c r="X185" s="8"/>
      <c r="Y185" s="8"/>
      <c r="Z185" s="8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8"/>
      <c r="W186" s="8"/>
      <c r="X186" s="8"/>
      <c r="Y186" s="8"/>
      <c r="Z186" s="8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8"/>
      <c r="W187" s="8"/>
      <c r="X187" s="8"/>
      <c r="Y187" s="8"/>
      <c r="Z187" s="8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8"/>
      <c r="W188" s="8"/>
      <c r="X188" s="8"/>
      <c r="Y188" s="8"/>
      <c r="Z188" s="8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8"/>
      <c r="W189" s="8"/>
      <c r="X189" s="8"/>
      <c r="Y189" s="8"/>
      <c r="Z189" s="8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8"/>
      <c r="W190" s="8"/>
      <c r="X190" s="8"/>
      <c r="Y190" s="8"/>
      <c r="Z190" s="8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8"/>
      <c r="W191" s="8"/>
      <c r="X191" s="8"/>
      <c r="Y191" s="8"/>
      <c r="Z191" s="8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8"/>
      <c r="W192" s="8"/>
      <c r="X192" s="8"/>
      <c r="Y192" s="8"/>
      <c r="Z192" s="8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8"/>
      <c r="W193" s="8"/>
      <c r="X193" s="8"/>
      <c r="Y193" s="8"/>
      <c r="Z193" s="8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8"/>
      <c r="W194" s="8"/>
      <c r="X194" s="8"/>
      <c r="Y194" s="8"/>
      <c r="Z194" s="8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8"/>
      <c r="W195" s="8"/>
      <c r="X195" s="8"/>
      <c r="Y195" s="8"/>
      <c r="Z195" s="8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8"/>
      <c r="W196" s="8"/>
      <c r="X196" s="8"/>
      <c r="Y196" s="8"/>
      <c r="Z196" s="8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8"/>
      <c r="W197" s="8"/>
      <c r="X197" s="8"/>
      <c r="Y197" s="8"/>
      <c r="Z197" s="8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8"/>
      <c r="W198" s="8"/>
      <c r="X198" s="8"/>
      <c r="Y198" s="8"/>
      <c r="Z198" s="8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8"/>
      <c r="W199" s="8"/>
      <c r="X199" s="8"/>
      <c r="Y199" s="8"/>
      <c r="Z199" s="8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8"/>
      <c r="W200" s="8"/>
      <c r="X200" s="8"/>
      <c r="Y200" s="8"/>
      <c r="Z200" s="8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8"/>
      <c r="W201" s="8"/>
      <c r="X201" s="8"/>
      <c r="Y201" s="8"/>
      <c r="Z201" s="8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8"/>
      <c r="W202" s="8"/>
      <c r="X202" s="8"/>
      <c r="Y202" s="8"/>
      <c r="Z202" s="8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8"/>
      <c r="W203" s="8"/>
      <c r="X203" s="8"/>
      <c r="Y203" s="8"/>
      <c r="Z203" s="8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8"/>
      <c r="W204" s="8"/>
      <c r="X204" s="8"/>
      <c r="Y204" s="8"/>
      <c r="Z204" s="8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8"/>
      <c r="W205" s="8"/>
      <c r="X205" s="8"/>
      <c r="Y205" s="8"/>
      <c r="Z205" s="8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8"/>
      <c r="W206" s="8"/>
      <c r="X206" s="8"/>
      <c r="Y206" s="8"/>
      <c r="Z206" s="8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8"/>
      <c r="W207" s="8"/>
      <c r="X207" s="8"/>
      <c r="Y207" s="8"/>
      <c r="Z207" s="8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8"/>
      <c r="W208" s="8"/>
      <c r="X208" s="8"/>
      <c r="Y208" s="8"/>
      <c r="Z208" s="8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8"/>
      <c r="W209" s="8"/>
      <c r="X209" s="8"/>
      <c r="Y209" s="8"/>
      <c r="Z209" s="8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8"/>
      <c r="W210" s="8"/>
      <c r="X210" s="8"/>
      <c r="Y210" s="8"/>
      <c r="Z210" s="8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8"/>
      <c r="W211" s="8"/>
      <c r="X211" s="8"/>
      <c r="Y211" s="8"/>
      <c r="Z211" s="8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8"/>
      <c r="W212" s="8"/>
      <c r="X212" s="8"/>
      <c r="Y212" s="8"/>
      <c r="Z212" s="8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8"/>
      <c r="W213" s="8"/>
      <c r="X213" s="8"/>
      <c r="Y213" s="8"/>
      <c r="Z213" s="8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8"/>
      <c r="W214" s="8"/>
      <c r="X214" s="8"/>
      <c r="Y214" s="8"/>
      <c r="Z214" s="8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8"/>
      <c r="W215" s="8"/>
      <c r="X215" s="8"/>
      <c r="Y215" s="8"/>
      <c r="Z215" s="8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8"/>
      <c r="W216" s="8"/>
      <c r="X216" s="8"/>
      <c r="Y216" s="8"/>
      <c r="Z216" s="8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8"/>
      <c r="W217" s="8"/>
      <c r="X217" s="8"/>
      <c r="Y217" s="8"/>
      <c r="Z217" s="8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8"/>
      <c r="W218" s="8"/>
      <c r="X218" s="8"/>
      <c r="Y218" s="8"/>
      <c r="Z218" s="8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8"/>
      <c r="W219" s="8"/>
      <c r="X219" s="8"/>
      <c r="Y219" s="8"/>
      <c r="Z219" s="8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8"/>
      <c r="W220" s="8"/>
      <c r="X220" s="8"/>
      <c r="Y220" s="8"/>
      <c r="Z220" s="8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8"/>
      <c r="W221" s="8"/>
      <c r="X221" s="8"/>
      <c r="Y221" s="8"/>
      <c r="Z221" s="8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8"/>
      <c r="W222" s="8"/>
      <c r="X222" s="8"/>
      <c r="Y222" s="8"/>
      <c r="Z222" s="8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8"/>
      <c r="W223" s="8"/>
      <c r="X223" s="8"/>
      <c r="Y223" s="8"/>
      <c r="Z223" s="8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8"/>
      <c r="W224" s="8"/>
      <c r="X224" s="8"/>
      <c r="Y224" s="8"/>
      <c r="Z224" s="8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8"/>
      <c r="W225" s="8"/>
      <c r="X225" s="8"/>
      <c r="Y225" s="8"/>
      <c r="Z225" s="8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8"/>
      <c r="W226" s="8"/>
      <c r="X226" s="8"/>
      <c r="Y226" s="8"/>
      <c r="Z226" s="8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8"/>
      <c r="W227" s="8"/>
      <c r="X227" s="8"/>
      <c r="Y227" s="8"/>
      <c r="Z227" s="8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8"/>
      <c r="W228" s="8"/>
      <c r="X228" s="8"/>
      <c r="Y228" s="8"/>
      <c r="Z228" s="8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8"/>
      <c r="W229" s="8"/>
      <c r="X229" s="8"/>
      <c r="Y229" s="8"/>
      <c r="Z229" s="8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8"/>
      <c r="W230" s="8"/>
      <c r="X230" s="8"/>
      <c r="Y230" s="8"/>
      <c r="Z230" s="8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8"/>
      <c r="W231" s="8"/>
      <c r="X231" s="8"/>
      <c r="Y231" s="8"/>
      <c r="Z231" s="8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8"/>
      <c r="W232" s="8"/>
      <c r="X232" s="8"/>
      <c r="Y232" s="8"/>
      <c r="Z232" s="8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8"/>
      <c r="W233" s="8"/>
      <c r="X233" s="8"/>
      <c r="Y233" s="8"/>
      <c r="Z233" s="8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8"/>
      <c r="W234" s="8"/>
      <c r="X234" s="8"/>
      <c r="Y234" s="8"/>
      <c r="Z234" s="8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8"/>
      <c r="W235" s="8"/>
      <c r="X235" s="8"/>
      <c r="Y235" s="8"/>
      <c r="Z235" s="8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8"/>
      <c r="W236" s="8"/>
      <c r="X236" s="8"/>
      <c r="Y236" s="8"/>
      <c r="Z236" s="8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8"/>
      <c r="W237" s="8"/>
      <c r="X237" s="8"/>
      <c r="Y237" s="8"/>
      <c r="Z237" s="8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8"/>
      <c r="W238" s="8"/>
      <c r="X238" s="8"/>
      <c r="Y238" s="8"/>
      <c r="Z238" s="8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8"/>
      <c r="W239" s="8"/>
      <c r="X239" s="8"/>
      <c r="Y239" s="8"/>
      <c r="Z239" s="8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8"/>
      <c r="W240" s="8"/>
      <c r="X240" s="8"/>
      <c r="Y240" s="8"/>
      <c r="Z240" s="8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8"/>
      <c r="W241" s="8"/>
      <c r="X241" s="8"/>
      <c r="Y241" s="8"/>
      <c r="Z241" s="8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8"/>
      <c r="W242" s="8"/>
      <c r="X242" s="8"/>
      <c r="Y242" s="8"/>
      <c r="Z242" s="8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8"/>
      <c r="W243" s="8"/>
      <c r="X243" s="8"/>
      <c r="Y243" s="8"/>
      <c r="Z243" s="8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8"/>
      <c r="W244" s="8"/>
      <c r="X244" s="8"/>
      <c r="Y244" s="8"/>
      <c r="Z244" s="8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8"/>
      <c r="W245" s="8"/>
      <c r="X245" s="8"/>
      <c r="Y245" s="8"/>
      <c r="Z245" s="8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8"/>
      <c r="W246" s="8"/>
      <c r="X246" s="8"/>
      <c r="Y246" s="8"/>
      <c r="Z246" s="8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8"/>
      <c r="W247" s="8"/>
      <c r="X247" s="8"/>
      <c r="Y247" s="8"/>
      <c r="Z247" s="8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8"/>
      <c r="W248" s="8"/>
      <c r="X248" s="8"/>
      <c r="Y248" s="8"/>
      <c r="Z248" s="8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8"/>
      <c r="W249" s="8"/>
      <c r="X249" s="8"/>
      <c r="Y249" s="8"/>
      <c r="Z249" s="8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8"/>
      <c r="W250" s="8"/>
      <c r="X250" s="8"/>
      <c r="Y250" s="8"/>
      <c r="Z250" s="8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8"/>
      <c r="W251" s="8"/>
      <c r="X251" s="8"/>
      <c r="Y251" s="8"/>
      <c r="Z251" s="8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8"/>
      <c r="W252" s="8"/>
      <c r="X252" s="8"/>
      <c r="Y252" s="8"/>
      <c r="Z252" s="8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8"/>
      <c r="W253" s="8"/>
      <c r="X253" s="8"/>
      <c r="Y253" s="8"/>
      <c r="Z253" s="8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8"/>
      <c r="W254" s="8"/>
      <c r="X254" s="8"/>
      <c r="Y254" s="8"/>
      <c r="Z254" s="8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8"/>
      <c r="W255" s="8"/>
      <c r="X255" s="8"/>
      <c r="Y255" s="8"/>
      <c r="Z255" s="8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8"/>
      <c r="W256" s="8"/>
      <c r="X256" s="8"/>
      <c r="Y256" s="8"/>
      <c r="Z256" s="8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8"/>
      <c r="W257" s="8"/>
      <c r="X257" s="8"/>
      <c r="Y257" s="8"/>
      <c r="Z257" s="8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8"/>
      <c r="W258" s="8"/>
      <c r="X258" s="8"/>
      <c r="Y258" s="8"/>
      <c r="Z258" s="8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8"/>
      <c r="W259" s="8"/>
      <c r="X259" s="8"/>
      <c r="Y259" s="8"/>
      <c r="Z259" s="8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8"/>
      <c r="W260" s="8"/>
      <c r="X260" s="8"/>
      <c r="Y260" s="8"/>
      <c r="Z260" s="8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8"/>
      <c r="W261" s="8"/>
      <c r="X261" s="8"/>
      <c r="Y261" s="8"/>
      <c r="Z261" s="8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8"/>
      <c r="W262" s="8"/>
      <c r="X262" s="8"/>
      <c r="Y262" s="8"/>
      <c r="Z262" s="8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8"/>
      <c r="W263" s="8"/>
      <c r="X263" s="8"/>
      <c r="Y263" s="8"/>
      <c r="Z263" s="8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8"/>
      <c r="W264" s="8"/>
      <c r="X264" s="8"/>
      <c r="Y264" s="8"/>
      <c r="Z264" s="8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8"/>
      <c r="W265" s="8"/>
      <c r="X265" s="8"/>
      <c r="Y265" s="8"/>
      <c r="Z265" s="8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8"/>
      <c r="W266" s="8"/>
      <c r="X266" s="8"/>
      <c r="Y266" s="8"/>
      <c r="Z266" s="8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60"/>
      <c r="B1" s="261" t="s">
        <v>172</v>
      </c>
      <c r="U1" s="260"/>
      <c r="V1" s="8"/>
      <c r="W1" s="8"/>
      <c r="X1" s="8"/>
      <c r="Y1" s="8"/>
      <c r="Z1" s="8"/>
    </row>
    <row r="2">
      <c r="A2" s="260"/>
      <c r="B2" s="262" t="s">
        <v>219</v>
      </c>
      <c r="U2" s="260"/>
      <c r="V2" s="8"/>
      <c r="W2" s="8"/>
      <c r="X2" s="8"/>
      <c r="Y2" s="8"/>
      <c r="Z2" s="8"/>
    </row>
    <row r="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8"/>
      <c r="W3" s="8"/>
      <c r="X3" s="8"/>
      <c r="Y3" s="8"/>
      <c r="Z3" s="8"/>
    </row>
    <row r="4">
      <c r="A4" s="260"/>
      <c r="B4" s="260" t="s">
        <v>174</v>
      </c>
      <c r="C4" s="260"/>
      <c r="D4" s="260" t="s">
        <v>6</v>
      </c>
      <c r="E4" s="260"/>
      <c r="F4" s="260"/>
      <c r="G4" s="260"/>
      <c r="H4" s="260"/>
      <c r="I4" s="260"/>
      <c r="J4" s="260"/>
      <c r="K4" s="260"/>
      <c r="L4" s="260"/>
      <c r="M4" s="260" t="s">
        <v>175</v>
      </c>
      <c r="N4" s="260"/>
      <c r="O4" s="260"/>
      <c r="P4" s="260"/>
      <c r="Q4" s="260"/>
      <c r="R4" s="260"/>
      <c r="S4" s="260"/>
      <c r="T4" s="260"/>
      <c r="U4" s="260"/>
      <c r="V4" s="8"/>
      <c r="W4" s="8"/>
      <c r="X4" s="8"/>
      <c r="Y4" s="8"/>
      <c r="Z4" s="8"/>
    </row>
    <row r="5">
      <c r="A5" s="260"/>
      <c r="B5" s="260" t="s">
        <v>176</v>
      </c>
      <c r="C5" s="260"/>
      <c r="D5" s="260" t="s">
        <v>6</v>
      </c>
      <c r="E5" s="260"/>
      <c r="F5" s="260"/>
      <c r="G5" s="260"/>
      <c r="H5" s="260"/>
      <c r="I5" s="260"/>
      <c r="J5" s="260"/>
      <c r="K5" s="260"/>
      <c r="L5" s="260"/>
      <c r="M5" s="260" t="s">
        <v>177</v>
      </c>
      <c r="N5" s="260"/>
      <c r="O5" s="260"/>
      <c r="P5" s="260"/>
      <c r="Q5" s="260"/>
      <c r="R5" s="260"/>
      <c r="S5" s="260"/>
      <c r="T5" s="260"/>
      <c r="U5" s="260"/>
      <c r="V5" s="8"/>
      <c r="W5" s="8"/>
      <c r="X5" s="8"/>
      <c r="Y5" s="8"/>
      <c r="Z5" s="8"/>
    </row>
    <row r="6">
      <c r="A6" s="260"/>
      <c r="B6" s="260" t="s">
        <v>178</v>
      </c>
      <c r="C6" s="260"/>
      <c r="D6" s="260" t="s">
        <v>6</v>
      </c>
      <c r="E6" s="260"/>
      <c r="F6" s="260"/>
      <c r="G6" s="260"/>
      <c r="H6" s="260"/>
      <c r="I6" s="260"/>
      <c r="J6" s="260"/>
      <c r="K6" s="260"/>
      <c r="L6" s="260"/>
      <c r="M6" s="260" t="s">
        <v>179</v>
      </c>
      <c r="N6" s="260"/>
      <c r="O6" s="260"/>
      <c r="P6" s="260"/>
      <c r="Q6" s="260"/>
      <c r="R6" s="260"/>
      <c r="S6" s="260"/>
      <c r="T6" s="260"/>
      <c r="U6" s="260"/>
      <c r="V6" s="8"/>
      <c r="W6" s="8"/>
      <c r="X6" s="8"/>
      <c r="Y6" s="8"/>
      <c r="Z6" s="8"/>
    </row>
    <row r="7">
      <c r="A7" s="260"/>
      <c r="B7" s="260" t="s">
        <v>180</v>
      </c>
      <c r="C7" s="260"/>
      <c r="D7" s="260" t="s">
        <v>6</v>
      </c>
      <c r="E7" s="260"/>
      <c r="F7" s="260"/>
      <c r="G7" s="260"/>
      <c r="H7" s="260"/>
      <c r="I7" s="260"/>
      <c r="J7" s="260"/>
      <c r="K7" s="260"/>
      <c r="L7" s="260"/>
      <c r="M7" s="8"/>
      <c r="N7" s="260"/>
      <c r="O7" s="260"/>
      <c r="P7" s="260"/>
      <c r="Q7" s="260"/>
      <c r="R7" s="260"/>
      <c r="S7" s="263"/>
      <c r="U7" s="260"/>
      <c r="V7" s="8"/>
      <c r="W7" s="8"/>
      <c r="X7" s="8"/>
      <c r="Y7" s="8"/>
      <c r="Z7" s="8"/>
    </row>
    <row r="8">
      <c r="A8" s="260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4" t="s">
        <v>167</v>
      </c>
      <c r="U8" s="260"/>
      <c r="V8" s="8"/>
      <c r="W8" s="8"/>
      <c r="X8" s="8"/>
      <c r="Y8" s="8"/>
      <c r="Z8" s="8"/>
    </row>
    <row r="9">
      <c r="A9" s="260"/>
      <c r="B9" s="265" t="s">
        <v>181</v>
      </c>
      <c r="C9" s="266" t="s">
        <v>182</v>
      </c>
      <c r="D9" s="5"/>
      <c r="E9" s="23"/>
      <c r="F9" s="267" t="s">
        <v>183</v>
      </c>
      <c r="G9" s="37"/>
      <c r="H9" s="37"/>
      <c r="I9" s="37"/>
      <c r="J9" s="37"/>
      <c r="K9" s="38"/>
      <c r="L9" s="267" t="s">
        <v>184</v>
      </c>
      <c r="M9" s="37"/>
      <c r="N9" s="37"/>
      <c r="O9" s="37"/>
      <c r="P9" s="37"/>
      <c r="Q9" s="37"/>
      <c r="R9" s="37"/>
      <c r="S9" s="38"/>
      <c r="T9" s="265" t="s">
        <v>185</v>
      </c>
      <c r="U9" s="260"/>
      <c r="V9" s="8"/>
      <c r="W9" s="8"/>
      <c r="X9" s="8"/>
      <c r="Y9" s="8"/>
      <c r="Z9" s="8"/>
    </row>
    <row r="10">
      <c r="A10" s="260"/>
      <c r="B10" s="12"/>
      <c r="C10" s="135"/>
      <c r="E10" s="109"/>
      <c r="F10" s="268" t="s">
        <v>186</v>
      </c>
      <c r="G10" s="268" t="s">
        <v>187</v>
      </c>
      <c r="H10" s="268" t="s">
        <v>188</v>
      </c>
      <c r="I10" s="269" t="s">
        <v>189</v>
      </c>
      <c r="J10" s="23"/>
      <c r="K10" s="268" t="s">
        <v>190</v>
      </c>
      <c r="L10" s="265" t="s">
        <v>191</v>
      </c>
      <c r="M10" s="265" t="s">
        <v>192</v>
      </c>
      <c r="N10" s="267" t="s">
        <v>193</v>
      </c>
      <c r="O10" s="37"/>
      <c r="P10" s="37"/>
      <c r="Q10" s="37"/>
      <c r="R10" s="37"/>
      <c r="S10" s="38"/>
      <c r="T10" s="12"/>
      <c r="U10" s="270"/>
      <c r="V10" s="8"/>
      <c r="W10" s="8"/>
      <c r="X10" s="8"/>
      <c r="Y10" s="8"/>
      <c r="Z10" s="8"/>
    </row>
    <row r="11">
      <c r="A11" s="260"/>
      <c r="B11" s="12"/>
      <c r="C11" s="135"/>
      <c r="E11" s="109"/>
      <c r="F11" s="12"/>
      <c r="G11" s="12"/>
      <c r="H11" s="12"/>
      <c r="I11" s="135"/>
      <c r="J11" s="109"/>
      <c r="K11" s="12"/>
      <c r="L11" s="12"/>
      <c r="M11" s="12"/>
      <c r="N11" s="267" t="s">
        <v>194</v>
      </c>
      <c r="O11" s="37"/>
      <c r="P11" s="38"/>
      <c r="Q11" s="267" t="s">
        <v>195</v>
      </c>
      <c r="R11" s="37"/>
      <c r="S11" s="38"/>
      <c r="T11" s="12"/>
      <c r="U11" s="270"/>
      <c r="V11" s="8"/>
      <c r="W11" s="8"/>
      <c r="X11" s="8"/>
      <c r="Y11" s="8"/>
      <c r="Z11" s="8"/>
    </row>
    <row r="12">
      <c r="A12" s="260"/>
      <c r="B12" s="18"/>
      <c r="C12" s="49"/>
      <c r="D12" s="11"/>
      <c r="E12" s="50"/>
      <c r="F12" s="18"/>
      <c r="G12" s="18"/>
      <c r="H12" s="18"/>
      <c r="I12" s="49"/>
      <c r="J12" s="50"/>
      <c r="K12" s="18"/>
      <c r="L12" s="18"/>
      <c r="M12" s="18"/>
      <c r="N12" s="271" t="s">
        <v>196</v>
      </c>
      <c r="O12" s="271" t="s">
        <v>197</v>
      </c>
      <c r="P12" s="271" t="s">
        <v>198</v>
      </c>
      <c r="Q12" s="271" t="s">
        <v>196</v>
      </c>
      <c r="R12" s="271" t="s">
        <v>199</v>
      </c>
      <c r="S12" s="271" t="s">
        <v>200</v>
      </c>
      <c r="T12" s="18"/>
      <c r="U12" s="260"/>
      <c r="V12" s="8"/>
      <c r="W12" s="8"/>
      <c r="X12" s="8"/>
      <c r="Y12" s="8"/>
      <c r="Z12" s="8"/>
    </row>
    <row r="13">
      <c r="A13" s="260"/>
      <c r="B13" s="272" t="s">
        <v>201</v>
      </c>
      <c r="C13" s="273" t="s">
        <v>202</v>
      </c>
      <c r="D13" s="37"/>
      <c r="E13" s="38"/>
      <c r="F13" s="272" t="s">
        <v>203</v>
      </c>
      <c r="G13" s="272" t="s">
        <v>204</v>
      </c>
      <c r="H13" s="272" t="s">
        <v>205</v>
      </c>
      <c r="I13" s="273" t="s">
        <v>206</v>
      </c>
      <c r="J13" s="38"/>
      <c r="K13" s="272" t="s">
        <v>207</v>
      </c>
      <c r="L13" s="272" t="s">
        <v>208</v>
      </c>
      <c r="M13" s="272" t="s">
        <v>209</v>
      </c>
      <c r="N13" s="272" t="s">
        <v>210</v>
      </c>
      <c r="O13" s="272" t="s">
        <v>211</v>
      </c>
      <c r="P13" s="272" t="s">
        <v>212</v>
      </c>
      <c r="Q13" s="272" t="s">
        <v>213</v>
      </c>
      <c r="R13" s="272" t="s">
        <v>214</v>
      </c>
      <c r="S13" s="272" t="s">
        <v>215</v>
      </c>
      <c r="T13" s="272" t="s">
        <v>216</v>
      </c>
      <c r="U13" s="260"/>
      <c r="V13" s="8"/>
      <c r="W13" s="8"/>
      <c r="X13" s="8"/>
      <c r="Y13" s="8"/>
      <c r="Z13" s="8"/>
    </row>
    <row r="14">
      <c r="A14" s="274"/>
      <c r="B14" s="275">
        <f>DPA!B31</f>
        <v>5</v>
      </c>
      <c r="C14" s="275" t="str">
        <f>DPA!C31</f>
        <v>BELANJA DAERAH</v>
      </c>
      <c r="D14" s="275"/>
      <c r="E14" s="275"/>
      <c r="F14" s="275"/>
      <c r="G14" s="275"/>
      <c r="H14" s="275"/>
      <c r="I14" s="275"/>
      <c r="J14" s="275"/>
      <c r="K14" s="276">
        <f>DPA!S31</f>
        <v>94371800</v>
      </c>
      <c r="L14" s="277"/>
      <c r="M14" s="277">
        <f t="shared" ref="M14:M15" si="1">K14</f>
        <v>94371800</v>
      </c>
      <c r="N14" s="278"/>
      <c r="O14" s="278"/>
      <c r="P14" s="278"/>
      <c r="Q14" s="278"/>
      <c r="R14" s="277"/>
      <c r="S14" s="277"/>
      <c r="T14" s="277"/>
      <c r="U14" s="279"/>
      <c r="V14" s="72"/>
      <c r="W14" s="72"/>
      <c r="X14" s="72"/>
      <c r="Y14" s="72"/>
      <c r="Z14" s="72"/>
    </row>
    <row r="15">
      <c r="A15" s="274"/>
      <c r="B15" s="275" t="str">
        <f>DPA!B32</f>
        <v>5.1</v>
      </c>
      <c r="C15" s="275" t="str">
        <f>DPA!C32</f>
        <v>BELANJA OPERASI</v>
      </c>
      <c r="D15" s="275"/>
      <c r="E15" s="275"/>
      <c r="F15" s="277"/>
      <c r="G15" s="280"/>
      <c r="H15" s="280"/>
      <c r="I15" s="280"/>
      <c r="J15" s="280"/>
      <c r="K15" s="276">
        <f>DPA!S32</f>
        <v>32999400</v>
      </c>
      <c r="L15" s="277"/>
      <c r="M15" s="277">
        <f t="shared" si="1"/>
        <v>32999400</v>
      </c>
      <c r="N15" s="278"/>
      <c r="O15" s="278"/>
      <c r="P15" s="278"/>
      <c r="Q15" s="278"/>
      <c r="R15" s="277"/>
      <c r="S15" s="277"/>
      <c r="T15" s="277"/>
      <c r="U15" s="279"/>
      <c r="V15" s="72"/>
      <c r="W15" s="72"/>
      <c r="X15" s="72"/>
      <c r="Y15" s="72"/>
      <c r="Z15" s="72"/>
    </row>
    <row r="16">
      <c r="A16" s="274"/>
      <c r="B16" s="275"/>
      <c r="C16" s="275"/>
      <c r="D16" s="275"/>
      <c r="E16" s="275"/>
      <c r="F16" s="277"/>
      <c r="G16" s="280"/>
      <c r="H16" s="280"/>
      <c r="I16" s="280"/>
      <c r="J16" s="280"/>
      <c r="K16" s="276"/>
      <c r="L16" s="277"/>
      <c r="M16" s="277"/>
      <c r="N16" s="278"/>
      <c r="O16" s="278"/>
      <c r="P16" s="278"/>
      <c r="Q16" s="278"/>
      <c r="R16" s="277"/>
      <c r="S16" s="277"/>
      <c r="T16" s="277"/>
      <c r="U16" s="279"/>
      <c r="V16" s="72"/>
      <c r="W16" s="72"/>
      <c r="X16" s="72"/>
      <c r="Y16" s="72"/>
      <c r="Z16" s="72"/>
    </row>
    <row r="17">
      <c r="A17" s="274"/>
      <c r="B17" s="275" t="str">
        <f>DPA!B34</f>
        <v> 5.2.2.</v>
      </c>
      <c r="C17" s="275" t="str">
        <f>DPA!C34</f>
        <v> Belanja Barang dan Jasa</v>
      </c>
      <c r="D17" s="275"/>
      <c r="E17" s="275"/>
      <c r="F17" s="277"/>
      <c r="G17" s="280"/>
      <c r="H17" s="280"/>
      <c r="I17" s="280"/>
      <c r="J17" s="280"/>
      <c r="K17" s="276">
        <f>DPA!S34</f>
        <v>32999400</v>
      </c>
      <c r="L17" s="277"/>
      <c r="M17" s="277">
        <f>K17</f>
        <v>32999400</v>
      </c>
      <c r="N17" s="278"/>
      <c r="O17" s="278"/>
      <c r="P17" s="278"/>
      <c r="Q17" s="278"/>
      <c r="R17" s="185"/>
      <c r="S17" s="185"/>
      <c r="T17" s="277"/>
      <c r="U17" s="279"/>
      <c r="V17" s="72"/>
      <c r="W17" s="72"/>
      <c r="X17" s="72"/>
      <c r="Y17" s="72"/>
      <c r="Z17" s="72"/>
    </row>
    <row r="18">
      <c r="A18" s="274"/>
      <c r="B18" s="275"/>
      <c r="C18" s="275"/>
      <c r="D18" s="275"/>
      <c r="E18" s="275"/>
      <c r="F18" s="277"/>
      <c r="G18" s="280"/>
      <c r="H18" s="280"/>
      <c r="I18" s="280"/>
      <c r="J18" s="280"/>
      <c r="K18" s="276"/>
      <c r="L18" s="277"/>
      <c r="M18" s="277"/>
      <c r="N18" s="278"/>
      <c r="O18" s="278"/>
      <c r="P18" s="278"/>
      <c r="Q18" s="278"/>
      <c r="R18" s="277"/>
      <c r="S18" s="278"/>
      <c r="T18" s="277"/>
      <c r="U18" s="279"/>
      <c r="V18" s="72"/>
      <c r="W18" s="72"/>
      <c r="X18" s="72"/>
      <c r="Y18" s="72"/>
      <c r="Z18" s="72"/>
    </row>
    <row r="19">
      <c r="A19" s="274"/>
      <c r="B19" s="275" t="str">
        <f>DPA!B36</f>
        <v> 5.2.2.01</v>
      </c>
      <c r="C19" s="275" t="str">
        <f>DPA!C36</f>
        <v>Belanja Bahan Pakai Habis</v>
      </c>
      <c r="D19" s="275"/>
      <c r="E19" s="275"/>
      <c r="F19" s="277"/>
      <c r="G19" s="280"/>
      <c r="H19" s="280"/>
      <c r="I19" s="280"/>
      <c r="J19" s="280"/>
      <c r="K19" s="276">
        <f>DPA!S36</f>
        <v>1791400</v>
      </c>
      <c r="L19" s="277"/>
      <c r="M19" s="277">
        <f>K19</f>
        <v>1791400</v>
      </c>
      <c r="N19" s="278"/>
      <c r="O19" s="278"/>
      <c r="P19" s="278"/>
      <c r="Q19" s="278"/>
      <c r="R19" s="277"/>
      <c r="S19" s="278"/>
      <c r="T19" s="277"/>
      <c r="U19" s="279"/>
      <c r="V19" s="72"/>
      <c r="W19" s="72"/>
      <c r="X19" s="72"/>
      <c r="Y19" s="72"/>
      <c r="Z19" s="72"/>
    </row>
    <row r="20">
      <c r="A20" s="260"/>
      <c r="B20" s="275"/>
      <c r="C20" s="275"/>
      <c r="D20" s="275"/>
      <c r="E20" s="275"/>
      <c r="F20" s="281"/>
      <c r="G20" s="282"/>
      <c r="H20" s="282"/>
      <c r="I20" s="282"/>
      <c r="J20" s="282"/>
      <c r="K20" s="276"/>
      <c r="L20" s="281"/>
      <c r="M20" s="277"/>
      <c r="N20" s="283"/>
      <c r="O20" s="283"/>
      <c r="P20" s="278"/>
      <c r="Q20" s="283"/>
      <c r="R20" s="277"/>
      <c r="S20" s="278"/>
      <c r="T20" s="277"/>
      <c r="U20" s="270"/>
      <c r="V20" s="8"/>
      <c r="W20" s="8"/>
      <c r="X20" s="8"/>
      <c r="Y20" s="8"/>
      <c r="Z20" s="8"/>
    </row>
    <row r="21" ht="15.75" customHeight="1">
      <c r="A21" s="260"/>
      <c r="B21" s="275" t="str">
        <f>DPA!B38</f>
        <v>5.1.02.01.01.0024</v>
      </c>
      <c r="C21" s="275" t="str">
        <f>DPA!C38</f>
        <v>Belanja Alat/Bahan untuk Kegiatan Kantor-Alat Tulis Kantor</v>
      </c>
      <c r="D21" s="275"/>
      <c r="E21" s="275"/>
      <c r="F21" s="281"/>
      <c r="G21" s="282"/>
      <c r="H21" s="282"/>
      <c r="I21" s="282"/>
      <c r="J21" s="282"/>
      <c r="K21" s="276">
        <f>DPA!S38</f>
        <v>656000</v>
      </c>
      <c r="L21" s="277"/>
      <c r="M21" s="277">
        <f t="shared" ref="M21:M28" si="2">K21</f>
        <v>656000</v>
      </c>
      <c r="N21" s="278"/>
      <c r="O21" s="278"/>
      <c r="P21" s="278"/>
      <c r="Q21" s="278"/>
      <c r="R21" s="277"/>
      <c r="S21" s="278"/>
      <c r="T21" s="277"/>
      <c r="U21" s="270"/>
      <c r="V21" s="8"/>
      <c r="W21" s="8"/>
      <c r="X21" s="8"/>
      <c r="Y21" s="8"/>
      <c r="Z21" s="8"/>
    </row>
    <row r="22" ht="15.75" customHeight="1">
      <c r="A22" s="260"/>
      <c r="B22" s="275"/>
      <c r="C22" s="275"/>
      <c r="D22" s="284" t="str">
        <f>DPA!D39</f>
        <v>-</v>
      </c>
      <c r="E22" s="285" t="str">
        <f>DPA!E39</f>
        <v>Alat Tulis Kantor
Spesifikasi : Stof Map Folio</v>
      </c>
      <c r="F22" s="281"/>
      <c r="G22" s="282"/>
      <c r="H22" s="282"/>
      <c r="I22" s="282"/>
      <c r="J22" s="282"/>
      <c r="K22" s="276">
        <f>DPA!S39</f>
        <v>330000</v>
      </c>
      <c r="L22" s="277"/>
      <c r="M22" s="277">
        <f t="shared" si="2"/>
        <v>330000</v>
      </c>
      <c r="N22" s="278"/>
      <c r="O22" s="278"/>
      <c r="P22" s="278"/>
      <c r="Q22" s="278"/>
      <c r="R22" s="277"/>
      <c r="S22" s="278"/>
      <c r="T22" s="277"/>
      <c r="U22" s="270"/>
      <c r="V22" s="8"/>
      <c r="W22" s="8"/>
      <c r="X22" s="8"/>
      <c r="Y22" s="8"/>
      <c r="Z22" s="8"/>
    </row>
    <row r="23" ht="15.75" customHeight="1">
      <c r="A23" s="260"/>
      <c r="B23" s="275"/>
      <c r="C23" s="275"/>
      <c r="D23" s="284" t="str">
        <f>DPA!D40</f>
        <v>-</v>
      </c>
      <c r="E23" s="285" t="str">
        <f>DPA!E40</f>
        <v>Alat Tulis Kantor
Spesifikasi : Trigonal Clip No. 5 Atom</v>
      </c>
      <c r="F23" s="281"/>
      <c r="G23" s="282"/>
      <c r="H23" s="283"/>
      <c r="I23" s="282"/>
      <c r="J23" s="282"/>
      <c r="K23" s="276">
        <f>DPA!S40</f>
        <v>66000</v>
      </c>
      <c r="L23" s="281"/>
      <c r="M23" s="277">
        <f t="shared" si="2"/>
        <v>66000</v>
      </c>
      <c r="N23" s="283"/>
      <c r="O23" s="283"/>
      <c r="P23" s="283"/>
      <c r="Q23" s="283"/>
      <c r="R23" s="281"/>
      <c r="S23" s="283"/>
      <c r="T23" s="277"/>
      <c r="U23" s="270"/>
      <c r="V23" s="8"/>
      <c r="W23" s="8"/>
      <c r="X23" s="8"/>
      <c r="Y23" s="8"/>
      <c r="Z23" s="8"/>
    </row>
    <row r="24" ht="15.75" customHeight="1">
      <c r="A24" s="260"/>
      <c r="B24" s="275"/>
      <c r="C24" s="275"/>
      <c r="D24" s="284" t="str">
        <f>DPA!D41</f>
        <v>-</v>
      </c>
      <c r="E24" s="285" t="str">
        <f>DPA!E41</f>
        <v>Alat Tulis Kantor
Spesifikasi : Box File Jumbo Bantex</v>
      </c>
      <c r="F24" s="281"/>
      <c r="G24" s="272"/>
      <c r="H24" s="282"/>
      <c r="I24" s="282"/>
      <c r="J24" s="282"/>
      <c r="K24" s="276">
        <f>DPA!S41</f>
        <v>260000</v>
      </c>
      <c r="L24" s="281"/>
      <c r="M24" s="277">
        <f t="shared" si="2"/>
        <v>260000</v>
      </c>
      <c r="N24" s="283"/>
      <c r="O24" s="283"/>
      <c r="P24" s="283"/>
      <c r="Q24" s="283"/>
      <c r="R24" s="281"/>
      <c r="S24" s="283"/>
      <c r="T24" s="277"/>
      <c r="U24" s="260"/>
      <c r="V24" s="8"/>
      <c r="W24" s="8"/>
      <c r="X24" s="8"/>
      <c r="Y24" s="8"/>
      <c r="Z24" s="8"/>
    </row>
    <row r="25" ht="15.75" customHeight="1">
      <c r="A25" s="260"/>
      <c r="B25" s="275"/>
      <c r="C25" s="275"/>
      <c r="D25" s="275"/>
      <c r="E25" s="275"/>
      <c r="F25" s="281"/>
      <c r="G25" s="272"/>
      <c r="H25" s="282"/>
      <c r="I25" s="282"/>
      <c r="J25" s="282"/>
      <c r="K25" s="276" t="str">
        <f>DPA!S42</f>
        <v/>
      </c>
      <c r="L25" s="281"/>
      <c r="M25" s="277" t="str">
        <f t="shared" si="2"/>
        <v/>
      </c>
      <c r="N25" s="283"/>
      <c r="O25" s="283"/>
      <c r="P25" s="283"/>
      <c r="Q25" s="283"/>
      <c r="R25" s="281"/>
      <c r="S25" s="283"/>
      <c r="T25" s="277"/>
      <c r="U25" s="260"/>
      <c r="V25" s="8"/>
      <c r="W25" s="8"/>
      <c r="X25" s="8"/>
      <c r="Y25" s="8"/>
      <c r="Z25" s="8"/>
    </row>
    <row r="26" ht="15.75" customHeight="1">
      <c r="A26" s="260"/>
      <c r="B26" s="275" t="str">
        <f>DPA!B43</f>
        <v>5.1.02.01.01.0025</v>
      </c>
      <c r="C26" s="275" t="str">
        <f>DPA!C43</f>
        <v>Belanja Alat/Bahan untuk Kegiatan Kantor- Kertas dan Cover</v>
      </c>
      <c r="D26" s="275"/>
      <c r="E26" s="275"/>
      <c r="F26" s="281"/>
      <c r="G26" s="272"/>
      <c r="H26" s="282"/>
      <c r="I26" s="282"/>
      <c r="J26" s="282"/>
      <c r="K26" s="276">
        <f>DPA!S43</f>
        <v>441400</v>
      </c>
      <c r="L26" s="281"/>
      <c r="M26" s="277">
        <f t="shared" si="2"/>
        <v>441400</v>
      </c>
      <c r="N26" s="283"/>
      <c r="O26" s="283"/>
      <c r="P26" s="283"/>
      <c r="Q26" s="283"/>
      <c r="R26" s="281"/>
      <c r="S26" s="283"/>
      <c r="T26" s="277"/>
      <c r="U26" s="260"/>
      <c r="V26" s="8"/>
      <c r="W26" s="8"/>
      <c r="X26" s="8"/>
      <c r="Y26" s="8"/>
      <c r="Z26" s="8"/>
    </row>
    <row r="27" ht="15.75" customHeight="1">
      <c r="A27" s="260"/>
      <c r="B27" s="275"/>
      <c r="C27" s="275"/>
      <c r="D27" s="284" t="str">
        <f>DPA!D44</f>
        <v>-</v>
      </c>
      <c r="E27" s="285" t="str">
        <f>DPA!E44</f>
        <v>Kertas dan Cover
Spesifikasi : Kertas HVS A4 70 gr</v>
      </c>
      <c r="F27" s="281"/>
      <c r="G27" s="272"/>
      <c r="H27" s="282"/>
      <c r="I27" s="282"/>
      <c r="J27" s="282"/>
      <c r="K27" s="276">
        <f>DPA!S44</f>
        <v>164800</v>
      </c>
      <c r="L27" s="281"/>
      <c r="M27" s="277">
        <f t="shared" si="2"/>
        <v>164800</v>
      </c>
      <c r="N27" s="283"/>
      <c r="O27" s="283"/>
      <c r="P27" s="283"/>
      <c r="Q27" s="283"/>
      <c r="R27" s="281"/>
      <c r="S27" s="283"/>
      <c r="T27" s="277"/>
      <c r="U27" s="260"/>
      <c r="V27" s="8"/>
      <c r="W27" s="8"/>
      <c r="X27" s="8"/>
      <c r="Y27" s="8"/>
      <c r="Z27" s="8"/>
    </row>
    <row r="28" ht="15.75" customHeight="1">
      <c r="A28" s="260"/>
      <c r="B28" s="275"/>
      <c r="C28" s="275"/>
      <c r="D28" s="284" t="str">
        <f>DPA!D45</f>
        <v>-</v>
      </c>
      <c r="E28" s="285" t="str">
        <f>DPA!E45</f>
        <v>Kertas dan Cover
Spesifikasi : Kertas HVS F4 70 gr</v>
      </c>
      <c r="F28" s="281"/>
      <c r="G28" s="272"/>
      <c r="H28" s="282"/>
      <c r="I28" s="282"/>
      <c r="J28" s="282"/>
      <c r="K28" s="276">
        <f>DPA!S45</f>
        <v>276600</v>
      </c>
      <c r="L28" s="281"/>
      <c r="M28" s="277">
        <f t="shared" si="2"/>
        <v>276600</v>
      </c>
      <c r="N28" s="283"/>
      <c r="O28" s="283"/>
      <c r="P28" s="283"/>
      <c r="Q28" s="283"/>
      <c r="R28" s="281"/>
      <c r="S28" s="283"/>
      <c r="T28" s="277"/>
      <c r="U28" s="260"/>
      <c r="V28" s="8"/>
      <c r="W28" s="8"/>
      <c r="X28" s="8"/>
      <c r="Y28" s="8"/>
      <c r="Z28" s="8"/>
    </row>
    <row r="29" ht="15.75" customHeight="1">
      <c r="A29" s="260"/>
      <c r="B29" s="275"/>
      <c r="C29" s="275"/>
      <c r="D29" s="275"/>
      <c r="E29" s="275"/>
      <c r="F29" s="281"/>
      <c r="G29" s="272"/>
      <c r="H29" s="282"/>
      <c r="I29" s="282"/>
      <c r="J29" s="282"/>
      <c r="K29" s="276"/>
      <c r="L29" s="281"/>
      <c r="M29" s="277"/>
      <c r="N29" s="283"/>
      <c r="O29" s="283"/>
      <c r="P29" s="283"/>
      <c r="Q29" s="283"/>
      <c r="R29" s="281"/>
      <c r="S29" s="283"/>
      <c r="T29" s="277"/>
      <c r="U29" s="260"/>
      <c r="V29" s="8"/>
      <c r="W29" s="8"/>
      <c r="X29" s="8"/>
      <c r="Y29" s="8"/>
      <c r="Z29" s="8"/>
    </row>
    <row r="30" ht="15.75" customHeight="1">
      <c r="A30" s="260"/>
      <c r="B30" s="275" t="str">
        <f>DPA!B47</f>
        <v>5.1.02.01.01.0026</v>
      </c>
      <c r="C30" s="275" t="str">
        <f>DPA!C47</f>
        <v>Belanja Alat/Bahan untuk Kegiatan Kantor- Bahan Cetak</v>
      </c>
      <c r="D30" s="275"/>
      <c r="E30" s="275"/>
      <c r="F30" s="281"/>
      <c r="G30" s="272"/>
      <c r="H30" s="282"/>
      <c r="I30" s="282"/>
      <c r="J30" s="282"/>
      <c r="K30" s="276">
        <f>DPA!S47</f>
        <v>544000</v>
      </c>
      <c r="L30" s="281"/>
      <c r="M30" s="277">
        <f t="shared" ref="M30:M31" si="3">K30</f>
        <v>544000</v>
      </c>
      <c r="N30" s="283"/>
      <c r="O30" s="283"/>
      <c r="P30" s="283"/>
      <c r="Q30" s="283"/>
      <c r="R30" s="281"/>
      <c r="S30" s="283"/>
      <c r="T30" s="277"/>
      <c r="U30" s="260"/>
      <c r="V30" s="8"/>
      <c r="W30" s="8"/>
      <c r="X30" s="8"/>
      <c r="Y30" s="8"/>
      <c r="Z30" s="8"/>
    </row>
    <row r="31" ht="15.75" customHeight="1">
      <c r="A31" s="260"/>
      <c r="B31" s="275"/>
      <c r="C31" s="275"/>
      <c r="D31" s="284" t="str">
        <f>DPA!D48</f>
        <v>-</v>
      </c>
      <c r="E31" s="285" t="str">
        <f>DPA!E48</f>
        <v>Foto Copy
Spesifikasi : Foto copy Hitam Putih-HVS
A4/F4</v>
      </c>
      <c r="F31" s="281"/>
      <c r="G31" s="272"/>
      <c r="H31" s="282"/>
      <c r="I31" s="282"/>
      <c r="J31" s="282"/>
      <c r="K31" s="276">
        <f>DPA!S48</f>
        <v>544000</v>
      </c>
      <c r="L31" s="277"/>
      <c r="M31" s="277">
        <f t="shared" si="3"/>
        <v>544000</v>
      </c>
      <c r="N31" s="278"/>
      <c r="O31" s="278"/>
      <c r="P31" s="278"/>
      <c r="Q31" s="278"/>
      <c r="R31" s="277"/>
      <c r="S31" s="278"/>
      <c r="T31" s="277"/>
      <c r="U31" s="260"/>
      <c r="V31" s="8"/>
      <c r="W31" s="8"/>
      <c r="X31" s="8"/>
      <c r="Y31" s="8"/>
      <c r="Z31" s="8"/>
    </row>
    <row r="32" ht="15.75" customHeight="1">
      <c r="A32" s="260"/>
      <c r="B32" s="275"/>
      <c r="C32" s="275"/>
      <c r="D32" s="275"/>
      <c r="E32" s="275"/>
      <c r="F32" s="281"/>
      <c r="G32" s="272"/>
      <c r="H32" s="282"/>
      <c r="I32" s="282"/>
      <c r="J32" s="282"/>
      <c r="K32" s="276"/>
      <c r="L32" s="281"/>
      <c r="M32" s="277"/>
      <c r="N32" s="283"/>
      <c r="O32" s="283"/>
      <c r="P32" s="283"/>
      <c r="Q32" s="283"/>
      <c r="R32" s="281"/>
      <c r="S32" s="283"/>
      <c r="T32" s="277"/>
      <c r="U32" s="260"/>
      <c r="V32" s="8"/>
      <c r="W32" s="8"/>
      <c r="X32" s="8"/>
      <c r="Y32" s="8"/>
      <c r="Z32" s="8"/>
    </row>
    <row r="33" ht="15.75" customHeight="1">
      <c r="A33" s="260"/>
      <c r="B33" s="275" t="str">
        <f>DPA!B50</f>
        <v>5.1.02.01.01.0027</v>
      </c>
      <c r="C33" s="275" t="str">
        <f>DPA!C50</f>
        <v>Belanja Alat/Bahan untuk Kegiatan Kantor-Benda Pos</v>
      </c>
      <c r="D33" s="275"/>
      <c r="E33" s="275"/>
      <c r="F33" s="281"/>
      <c r="G33" s="272"/>
      <c r="H33" s="282"/>
      <c r="I33" s="282"/>
      <c r="J33" s="282"/>
      <c r="K33" s="276">
        <f>DPA!S50</f>
        <v>150000</v>
      </c>
      <c r="L33" s="281"/>
      <c r="M33" s="277">
        <f t="shared" ref="M33:M34" si="4">K33</f>
        <v>150000</v>
      </c>
      <c r="N33" s="283"/>
      <c r="O33" s="283"/>
      <c r="P33" s="283"/>
      <c r="Q33" s="283"/>
      <c r="R33" s="281"/>
      <c r="S33" s="283"/>
      <c r="T33" s="277"/>
      <c r="U33" s="260"/>
      <c r="V33" s="8"/>
      <c r="W33" s="8"/>
      <c r="X33" s="8"/>
      <c r="Y33" s="8"/>
      <c r="Z33" s="8"/>
    </row>
    <row r="34" ht="15.75" customHeight="1">
      <c r="A34" s="260"/>
      <c r="B34" s="275"/>
      <c r="C34" s="275"/>
      <c r="D34" s="284" t="str">
        <f>DPA!D51</f>
        <v>-</v>
      </c>
      <c r="E34" s="284" t="str">
        <f>DPA!E51</f>
        <v>Materai
Spesifikasi: Materai 10.000</v>
      </c>
      <c r="F34" s="281"/>
      <c r="G34" s="272"/>
      <c r="H34" s="282"/>
      <c r="I34" s="282"/>
      <c r="J34" s="282"/>
      <c r="K34" s="276">
        <f>DPA!S51</f>
        <v>150000</v>
      </c>
      <c r="L34" s="281"/>
      <c r="M34" s="277">
        <f t="shared" si="4"/>
        <v>150000</v>
      </c>
      <c r="N34" s="283"/>
      <c r="O34" s="283"/>
      <c r="P34" s="283"/>
      <c r="Q34" s="283"/>
      <c r="R34" s="281"/>
      <c r="S34" s="283"/>
      <c r="T34" s="277"/>
      <c r="U34" s="260"/>
      <c r="V34" s="8"/>
      <c r="W34" s="8"/>
      <c r="X34" s="8"/>
      <c r="Y34" s="8"/>
      <c r="Z34" s="8"/>
    </row>
    <row r="35" ht="15.75" customHeight="1">
      <c r="A35" s="274"/>
      <c r="B35" s="275"/>
      <c r="C35" s="275"/>
      <c r="D35" s="275"/>
      <c r="E35" s="275"/>
      <c r="F35" s="277"/>
      <c r="G35" s="271"/>
      <c r="H35" s="280"/>
      <c r="I35" s="280"/>
      <c r="J35" s="280"/>
      <c r="K35" s="276"/>
      <c r="L35" s="277"/>
      <c r="M35" s="277"/>
      <c r="N35" s="278"/>
      <c r="O35" s="278"/>
      <c r="P35" s="278"/>
      <c r="Q35" s="278"/>
      <c r="R35" s="277"/>
      <c r="S35" s="278"/>
      <c r="T35" s="277"/>
      <c r="U35" s="274"/>
      <c r="V35" s="72"/>
      <c r="W35" s="72"/>
      <c r="X35" s="72"/>
      <c r="Y35" s="72"/>
      <c r="Z35" s="72"/>
    </row>
    <row r="36" ht="15.75" customHeight="1">
      <c r="A36" s="260"/>
      <c r="B36" s="275" t="str">
        <f>DPA!B53</f>
        <v>5.1.02.04</v>
      </c>
      <c r="C36" s="275" t="str">
        <f>DPA!C53</f>
        <v>Belanja Perjalanan Dinas</v>
      </c>
      <c r="D36" s="275"/>
      <c r="E36" s="275"/>
      <c r="F36" s="281"/>
      <c r="G36" s="272"/>
      <c r="H36" s="282"/>
      <c r="I36" s="282"/>
      <c r="J36" s="282"/>
      <c r="K36" s="276">
        <f>DPA!S53</f>
        <v>31208000</v>
      </c>
      <c r="L36" s="277"/>
      <c r="M36" s="277">
        <f t="shared" ref="M36:M43" si="5">K36</f>
        <v>31208000</v>
      </c>
      <c r="N36" s="278"/>
      <c r="O36" s="278"/>
      <c r="P36" s="278"/>
      <c r="Q36" s="278"/>
      <c r="R36" s="277"/>
      <c r="S36" s="278"/>
      <c r="T36" s="277"/>
      <c r="U36" s="260"/>
      <c r="V36" s="8"/>
      <c r="W36" s="8"/>
      <c r="X36" s="8"/>
      <c r="Y36" s="8"/>
      <c r="Z36" s="8"/>
    </row>
    <row r="37" ht="15.75" customHeight="1">
      <c r="A37" s="260"/>
      <c r="B37" s="275" t="str">
        <f>DPA!B54</f>
        <v>5.1.02.04.01</v>
      </c>
      <c r="C37" s="275" t="str">
        <f>DPA!C54</f>
        <v>Belanja Perjalanan Dinas Dalam Negeri</v>
      </c>
      <c r="D37" s="275" t="str">
        <f>DPA!D54</f>
        <v/>
      </c>
      <c r="E37" s="275" t="str">
        <f>DPA!E54</f>
        <v/>
      </c>
      <c r="F37" s="281"/>
      <c r="G37" s="272"/>
      <c r="H37" s="282"/>
      <c r="I37" s="282"/>
      <c r="J37" s="282"/>
      <c r="K37" s="276">
        <f>DPA!S54</f>
        <v>31208000</v>
      </c>
      <c r="L37" s="281"/>
      <c r="M37" s="277">
        <f t="shared" si="5"/>
        <v>31208000</v>
      </c>
      <c r="N37" s="283"/>
      <c r="O37" s="283"/>
      <c r="P37" s="283"/>
      <c r="Q37" s="283"/>
      <c r="R37" s="281"/>
      <c r="S37" s="283"/>
      <c r="T37" s="277"/>
      <c r="U37" s="260"/>
      <c r="V37" s="8"/>
      <c r="W37" s="8"/>
      <c r="X37" s="8"/>
      <c r="Y37" s="8"/>
      <c r="Z37" s="8"/>
    </row>
    <row r="38" ht="15.75" customHeight="1">
      <c r="A38" s="260"/>
      <c r="B38" s="275" t="str">
        <f>DPA!B55</f>
        <v>5.1.02.04.01.0001</v>
      </c>
      <c r="C38" s="275" t="str">
        <f>DPA!C55</f>
        <v>Belanja Perjalanan Dinas Biasa</v>
      </c>
      <c r="D38" s="275" t="str">
        <f>DPA!D55</f>
        <v/>
      </c>
      <c r="E38" s="275" t="str">
        <f>DPA!E55</f>
        <v/>
      </c>
      <c r="F38" s="281"/>
      <c r="G38" s="272"/>
      <c r="H38" s="282"/>
      <c r="I38" s="282"/>
      <c r="J38" s="282"/>
      <c r="K38" s="276">
        <f>DPA!S55</f>
        <v>31208000</v>
      </c>
      <c r="L38" s="281"/>
      <c r="M38" s="277">
        <f t="shared" si="5"/>
        <v>31208000</v>
      </c>
      <c r="N38" s="283"/>
      <c r="O38" s="283"/>
      <c r="P38" s="283"/>
      <c r="Q38" s="283"/>
      <c r="R38" s="281"/>
      <c r="S38" s="283"/>
      <c r="T38" s="277"/>
      <c r="U38" s="260"/>
      <c r="V38" s="8"/>
      <c r="W38" s="8"/>
      <c r="X38" s="8"/>
      <c r="Y38" s="8"/>
      <c r="Z38" s="8"/>
    </row>
    <row r="39" ht="15.75" customHeight="1">
      <c r="A39" s="260"/>
      <c r="B39" s="275"/>
      <c r="C39" s="275"/>
      <c r="D39" s="284" t="str">
        <f>DPA!D56</f>
        <v>-</v>
      </c>
      <c r="E39" s="285" t="str">
        <f>DPA!E56</f>
        <v>Penginapan Dalam Negeri di- D.K.I. JAKARTA
Spesifikasi: PEJABAT ESELON III / GOLONGAN IV</v>
      </c>
      <c r="F39" s="281"/>
      <c r="G39" s="272"/>
      <c r="H39" s="282"/>
      <c r="I39" s="282"/>
      <c r="J39" s="282"/>
      <c r="K39" s="276">
        <f>DPA!S56</f>
        <v>7936000</v>
      </c>
      <c r="L39" s="281"/>
      <c r="M39" s="277">
        <f t="shared" si="5"/>
        <v>7936000</v>
      </c>
      <c r="N39" s="283"/>
      <c r="O39" s="283"/>
      <c r="P39" s="283"/>
      <c r="Q39" s="283"/>
      <c r="R39" s="281"/>
      <c r="S39" s="283"/>
      <c r="T39" s="277"/>
      <c r="U39" s="260"/>
      <c r="V39" s="8"/>
      <c r="W39" s="8"/>
      <c r="X39" s="8"/>
      <c r="Y39" s="8"/>
      <c r="Z39" s="8"/>
    </row>
    <row r="40" ht="15.75" customHeight="1">
      <c r="A40" s="274"/>
      <c r="B40" s="275"/>
      <c r="C40" s="275"/>
      <c r="D40" s="284" t="str">
        <f>DPA!D57</f>
        <v>-</v>
      </c>
      <c r="E40" s="285" t="str">
        <f>DPA!E57</f>
        <v>Taxi dari/ke Bandara - Perjalanan Dinas Dalam Negeri
Spesifikasi: BALI</v>
      </c>
      <c r="F40" s="277"/>
      <c r="G40" s="271"/>
      <c r="H40" s="280"/>
      <c r="I40" s="280"/>
      <c r="J40" s="280"/>
      <c r="K40" s="276">
        <f>DPA!S57</f>
        <v>1816000</v>
      </c>
      <c r="L40" s="277"/>
      <c r="M40" s="277">
        <f t="shared" si="5"/>
        <v>1816000</v>
      </c>
      <c r="N40" s="278"/>
      <c r="O40" s="278"/>
      <c r="P40" s="278"/>
      <c r="Q40" s="278"/>
      <c r="R40" s="277"/>
      <c r="S40" s="278"/>
      <c r="T40" s="277"/>
      <c r="U40" s="274"/>
      <c r="V40" s="72"/>
      <c r="W40" s="72"/>
      <c r="X40" s="72"/>
      <c r="Y40" s="72"/>
      <c r="Z40" s="72"/>
    </row>
    <row r="41" ht="15.75" customHeight="1">
      <c r="A41" s="260"/>
      <c r="B41" s="275"/>
      <c r="C41" s="275"/>
      <c r="D41" s="284" t="str">
        <f>DPA!D58</f>
        <v>-</v>
      </c>
      <c r="E41" s="285" t="str">
        <f>DPA!E58</f>
        <v>Taxi dari/ke Bandara - Perjalanan Dinas Dalam Negeri
Spesifikasi: D.K.I. JAKARTA</v>
      </c>
      <c r="F41" s="281"/>
      <c r="G41" s="272"/>
      <c r="H41" s="282"/>
      <c r="I41" s="282"/>
      <c r="J41" s="282"/>
      <c r="K41" s="276">
        <f>DPA!S58</f>
        <v>2048000</v>
      </c>
      <c r="L41" s="277"/>
      <c r="M41" s="277">
        <f t="shared" si="5"/>
        <v>2048000</v>
      </c>
      <c r="N41" s="278"/>
      <c r="O41" s="278"/>
      <c r="P41" s="278"/>
      <c r="Q41" s="278"/>
      <c r="R41" s="277"/>
      <c r="S41" s="278"/>
      <c r="T41" s="277"/>
      <c r="U41" s="260"/>
      <c r="V41" s="8"/>
      <c r="W41" s="8"/>
      <c r="X41" s="8"/>
      <c r="Y41" s="8"/>
      <c r="Z41" s="8"/>
    </row>
    <row r="42" ht="15.75" customHeight="1">
      <c r="A42" s="260"/>
      <c r="B42" s="275"/>
      <c r="C42" s="275"/>
      <c r="D42" s="284" t="str">
        <f>DPA!D59</f>
        <v>-</v>
      </c>
      <c r="E42" s="285" t="str">
        <f>DPA!E59</f>
        <v>Satuan Biaya Tiket Dalam Negeri
Spesifikasi : Denpasar - Jakarta</v>
      </c>
      <c r="F42" s="281"/>
      <c r="G42" s="272"/>
      <c r="H42" s="282"/>
      <c r="I42" s="282"/>
      <c r="J42" s="282"/>
      <c r="K42" s="276">
        <f>DPA!S59</f>
        <v>13048000</v>
      </c>
      <c r="L42" s="281"/>
      <c r="M42" s="277">
        <f t="shared" si="5"/>
        <v>13048000</v>
      </c>
      <c r="N42" s="283"/>
      <c r="O42" s="283"/>
      <c r="P42" s="283"/>
      <c r="Q42" s="283"/>
      <c r="R42" s="281"/>
      <c r="S42" s="283"/>
      <c r="T42" s="277"/>
      <c r="U42" s="260"/>
      <c r="V42" s="8"/>
      <c r="W42" s="8"/>
      <c r="X42" s="8"/>
      <c r="Y42" s="8"/>
      <c r="Z42" s="8"/>
    </row>
    <row r="43" ht="15.75" customHeight="1">
      <c r="A43" s="260"/>
      <c r="B43" s="275"/>
      <c r="C43" s="275"/>
      <c r="D43" s="284" t="str">
        <f>DPA!D60</f>
        <v>-</v>
      </c>
      <c r="E43" s="285" t="str">
        <f>DPA!E60</f>
        <v>Uang Harian Perjalanan Dinas Luar Kota/Luar Daerah
Spesifikasi: D.K.I. JAKARTA</v>
      </c>
      <c r="F43" s="281"/>
      <c r="G43" s="272"/>
      <c r="H43" s="282"/>
      <c r="I43" s="282"/>
      <c r="J43" s="282"/>
      <c r="K43" s="276">
        <f>DPA!S60</f>
        <v>6360000</v>
      </c>
      <c r="L43" s="281"/>
      <c r="M43" s="277">
        <f t="shared" si="5"/>
        <v>6360000</v>
      </c>
      <c r="N43" s="283"/>
      <c r="O43" s="283"/>
      <c r="P43" s="283"/>
      <c r="Q43" s="283"/>
      <c r="R43" s="281"/>
      <c r="S43" s="283"/>
      <c r="T43" s="277"/>
      <c r="U43" s="260"/>
      <c r="V43" s="8"/>
      <c r="W43" s="8"/>
      <c r="X43" s="8"/>
      <c r="Y43" s="8"/>
      <c r="Z43" s="8"/>
    </row>
    <row r="44" ht="15.75" customHeight="1">
      <c r="A44" s="260"/>
      <c r="B44" s="275"/>
      <c r="C44" s="275"/>
      <c r="D44" s="275"/>
      <c r="E44" s="275"/>
      <c r="F44" s="281"/>
      <c r="G44" s="272"/>
      <c r="H44" s="282"/>
      <c r="I44" s="282"/>
      <c r="J44" s="282"/>
      <c r="K44" s="276"/>
      <c r="L44" s="277"/>
      <c r="M44" s="277"/>
      <c r="N44" s="278"/>
      <c r="O44" s="278"/>
      <c r="P44" s="278"/>
      <c r="Q44" s="278"/>
      <c r="R44" s="277"/>
      <c r="S44" s="278"/>
      <c r="T44" s="277"/>
      <c r="U44" s="260"/>
      <c r="V44" s="8"/>
      <c r="W44" s="8"/>
      <c r="X44" s="8"/>
      <c r="Y44" s="8"/>
      <c r="Z44" s="8"/>
    </row>
    <row r="45" ht="15.75" customHeight="1">
      <c r="A45" s="260"/>
      <c r="B45" s="275" t="str">
        <f>DPA!B62</f>
        <v>5.2 </v>
      </c>
      <c r="C45" s="275" t="str">
        <f>DPA!C62</f>
        <v>Belanja Modal</v>
      </c>
      <c r="D45" s="275"/>
      <c r="E45" s="275"/>
      <c r="F45" s="281"/>
      <c r="G45" s="272"/>
      <c r="H45" s="282"/>
      <c r="I45" s="282"/>
      <c r="J45" s="282"/>
      <c r="K45" s="276">
        <f>DPA!S62</f>
        <v>61372400</v>
      </c>
      <c r="L45" s="281"/>
      <c r="M45" s="277">
        <f t="shared" ref="M45:M54" si="6">K45</f>
        <v>61372400</v>
      </c>
      <c r="N45" s="283"/>
      <c r="O45" s="283"/>
      <c r="P45" s="283"/>
      <c r="Q45" s="283"/>
      <c r="R45" s="281"/>
      <c r="S45" s="283"/>
      <c r="T45" s="277"/>
      <c r="U45" s="260"/>
      <c r="V45" s="8"/>
      <c r="W45" s="8"/>
      <c r="X45" s="8"/>
      <c r="Y45" s="8"/>
      <c r="Z45" s="8"/>
    </row>
    <row r="46" ht="15.75" customHeight="1">
      <c r="A46" s="260"/>
      <c r="B46" s="275" t="str">
        <f>DPA!B63</f>
        <v>5.2.02</v>
      </c>
      <c r="C46" s="275" t="str">
        <f>DPA!C63</f>
        <v>Belanja Modal Perapatan dan Mesin</v>
      </c>
      <c r="D46" s="275"/>
      <c r="E46" s="275"/>
      <c r="F46" s="281"/>
      <c r="G46" s="272"/>
      <c r="H46" s="282"/>
      <c r="I46" s="282"/>
      <c r="J46" s="282"/>
      <c r="K46" s="276">
        <f>DPA!S63</f>
        <v>61372400</v>
      </c>
      <c r="L46" s="281"/>
      <c r="M46" s="277">
        <f t="shared" si="6"/>
        <v>61372400</v>
      </c>
      <c r="N46" s="283"/>
      <c r="O46" s="283"/>
      <c r="P46" s="283"/>
      <c r="Q46" s="283"/>
      <c r="R46" s="281"/>
      <c r="S46" s="283"/>
      <c r="T46" s="277"/>
      <c r="U46" s="260"/>
      <c r="V46" s="8"/>
      <c r="W46" s="8"/>
      <c r="X46" s="8"/>
      <c r="Y46" s="8"/>
      <c r="Z46" s="8"/>
    </row>
    <row r="47" ht="15.75" customHeight="1">
      <c r="A47" s="260"/>
      <c r="B47" s="275" t="str">
        <f>DPA!B64</f>
        <v>5.2.02.05</v>
      </c>
      <c r="C47" s="275" t="str">
        <f>DPA!C64</f>
        <v>Belanja Modal Alat Kantor dan Rumah Tangga</v>
      </c>
      <c r="D47" s="275"/>
      <c r="E47" s="275"/>
      <c r="F47" s="281"/>
      <c r="G47" s="272"/>
      <c r="H47" s="282"/>
      <c r="I47" s="282"/>
      <c r="J47" s="282"/>
      <c r="K47" s="276">
        <f>DPA!S64</f>
        <v>61372400</v>
      </c>
      <c r="L47" s="281"/>
      <c r="M47" s="277">
        <f t="shared" si="6"/>
        <v>61372400</v>
      </c>
      <c r="N47" s="283"/>
      <c r="O47" s="283"/>
      <c r="P47" s="283"/>
      <c r="Q47" s="283"/>
      <c r="R47" s="281"/>
      <c r="S47" s="283"/>
      <c r="T47" s="277"/>
      <c r="U47" s="260"/>
      <c r="V47" s="8"/>
      <c r="W47" s="8"/>
      <c r="X47" s="8"/>
      <c r="Y47" s="8"/>
      <c r="Z47" s="8"/>
    </row>
    <row r="48" ht="15.75" customHeight="1">
      <c r="A48" s="260"/>
      <c r="B48" s="275" t="str">
        <f>DPA!B65</f>
        <v>5.2.02.05.001</v>
      </c>
      <c r="C48" s="275" t="str">
        <f>DPA!C65</f>
        <v>Belanja Modal Alat Kantor</v>
      </c>
      <c r="D48" s="275"/>
      <c r="E48" s="275"/>
      <c r="F48" s="281"/>
      <c r="G48" s="272"/>
      <c r="H48" s="282"/>
      <c r="I48" s="282"/>
      <c r="J48" s="282"/>
      <c r="K48" s="276">
        <f>DPA!S65</f>
        <v>34347600</v>
      </c>
      <c r="L48" s="281"/>
      <c r="M48" s="277">
        <f t="shared" si="6"/>
        <v>34347600</v>
      </c>
      <c r="N48" s="283"/>
      <c r="O48" s="283"/>
      <c r="P48" s="283"/>
      <c r="Q48" s="283"/>
      <c r="R48" s="281"/>
      <c r="S48" s="283"/>
      <c r="T48" s="277"/>
      <c r="U48" s="260"/>
      <c r="V48" s="8"/>
      <c r="W48" s="8"/>
      <c r="X48" s="8"/>
      <c r="Y48" s="8"/>
      <c r="Z48" s="8"/>
    </row>
    <row r="49" ht="15.75" customHeight="1">
      <c r="A49" s="260"/>
      <c r="B49" s="275" t="str">
        <f>DPA!B66</f>
        <v>5.2.02.05.001.00005</v>
      </c>
      <c r="C49" s="275" t="str">
        <f>DPA!C66</f>
        <v>Belanja Modal Alat Kantor Lainnya</v>
      </c>
      <c r="D49" s="275"/>
      <c r="E49" s="275"/>
      <c r="F49" s="281"/>
      <c r="G49" s="272"/>
      <c r="H49" s="282"/>
      <c r="I49" s="282"/>
      <c r="J49" s="282"/>
      <c r="K49" s="276">
        <f>DPA!S66</f>
        <v>34347600</v>
      </c>
      <c r="L49" s="281"/>
      <c r="M49" s="277">
        <f t="shared" si="6"/>
        <v>34347600</v>
      </c>
      <c r="N49" s="283"/>
      <c r="O49" s="283"/>
      <c r="P49" s="283"/>
      <c r="Q49" s="283"/>
      <c r="R49" s="281"/>
      <c r="S49" s="283"/>
      <c r="T49" s="277"/>
      <c r="U49" s="260"/>
      <c r="V49" s="8"/>
      <c r="W49" s="8"/>
      <c r="X49" s="8"/>
      <c r="Y49" s="8"/>
      <c r="Z49" s="8"/>
    </row>
    <row r="50" ht="15.75" customHeight="1">
      <c r="A50" s="260"/>
      <c r="B50" s="275" t="str">
        <f>DPA!B67</f>
        <v/>
      </c>
      <c r="C50" s="275" t="str">
        <f>DPA!C67</f>
        <v/>
      </c>
      <c r="D50" s="275"/>
      <c r="E50" s="275"/>
      <c r="F50" s="281"/>
      <c r="G50" s="272"/>
      <c r="H50" s="282"/>
      <c r="I50" s="282"/>
      <c r="J50" s="282"/>
      <c r="K50" s="276">
        <f>DPA!S67</f>
        <v>34347600</v>
      </c>
      <c r="L50" s="281"/>
      <c r="M50" s="277">
        <f t="shared" si="6"/>
        <v>34347600</v>
      </c>
      <c r="N50" s="283"/>
      <c r="O50" s="283"/>
      <c r="P50" s="283"/>
      <c r="Q50" s="283"/>
      <c r="R50" s="281"/>
      <c r="S50" s="283"/>
      <c r="T50" s="277"/>
      <c r="U50" s="260"/>
      <c r="V50" s="8"/>
      <c r="W50" s="8"/>
      <c r="X50" s="8"/>
      <c r="Y50" s="8"/>
      <c r="Z50" s="8"/>
    </row>
    <row r="51" ht="15.75" customHeight="1">
      <c r="A51" s="260"/>
      <c r="B51" s="275" t="str">
        <f>DPA!B68</f>
        <v/>
      </c>
      <c r="C51" s="275" t="str">
        <f>DPA!C68</f>
        <v/>
      </c>
      <c r="D51" s="275"/>
      <c r="E51" s="275"/>
      <c r="F51" s="281"/>
      <c r="G51" s="272"/>
      <c r="H51" s="282"/>
      <c r="I51" s="282"/>
      <c r="J51" s="282"/>
      <c r="K51" s="276" t="str">
        <f>DPA!S68</f>
        <v/>
      </c>
      <c r="L51" s="281"/>
      <c r="M51" s="277" t="str">
        <f t="shared" si="6"/>
        <v/>
      </c>
      <c r="N51" s="283"/>
      <c r="O51" s="283"/>
      <c r="P51" s="283"/>
      <c r="Q51" s="283"/>
      <c r="R51" s="281"/>
      <c r="S51" s="283"/>
      <c r="T51" s="277"/>
      <c r="U51" s="260"/>
      <c r="V51" s="8"/>
      <c r="W51" s="8"/>
      <c r="X51" s="8"/>
      <c r="Y51" s="8"/>
      <c r="Z51" s="8"/>
    </row>
    <row r="52" ht="15.75" customHeight="1">
      <c r="A52" s="260"/>
      <c r="B52" s="275" t="str">
        <f>DPA!B69</f>
        <v>5.2.02.05.002</v>
      </c>
      <c r="C52" s="275" t="str">
        <f>DPA!C69</f>
        <v>Belanja Modal Alat Rumah Tangga</v>
      </c>
      <c r="D52" s="275"/>
      <c r="E52" s="275"/>
      <c r="F52" s="281"/>
      <c r="G52" s="272"/>
      <c r="H52" s="282"/>
      <c r="I52" s="282"/>
      <c r="J52" s="282"/>
      <c r="K52" s="276">
        <f>DPA!S69</f>
        <v>27024800</v>
      </c>
      <c r="L52" s="281"/>
      <c r="M52" s="277">
        <f t="shared" si="6"/>
        <v>27024800</v>
      </c>
      <c r="N52" s="283"/>
      <c r="O52" s="283"/>
      <c r="P52" s="283"/>
      <c r="Q52" s="283"/>
      <c r="R52" s="281"/>
      <c r="S52" s="283"/>
      <c r="T52" s="277"/>
      <c r="U52" s="260"/>
      <c r="V52" s="8"/>
      <c r="W52" s="8"/>
      <c r="X52" s="8"/>
      <c r="Y52" s="8"/>
      <c r="Z52" s="8"/>
    </row>
    <row r="53" ht="15.75" customHeight="1">
      <c r="A53" s="260"/>
      <c r="B53" s="275" t="str">
        <f>DPA!B70</f>
        <v>5.2.02.05.002.000
06</v>
      </c>
      <c r="C53" s="275" t="str">
        <f>DPA!C70</f>
        <v>Belanja Modal Alat Rumah Tangga Lainnya (Home Use)</v>
      </c>
      <c r="D53" s="275"/>
      <c r="E53" s="275"/>
      <c r="F53" s="281"/>
      <c r="G53" s="272"/>
      <c r="H53" s="282"/>
      <c r="I53" s="282"/>
      <c r="J53" s="282"/>
      <c r="K53" s="276">
        <f>DPA!S70</f>
        <v>27024800</v>
      </c>
      <c r="L53" s="281"/>
      <c r="M53" s="277">
        <f t="shared" si="6"/>
        <v>27024800</v>
      </c>
      <c r="N53" s="283"/>
      <c r="O53" s="283"/>
      <c r="P53" s="283"/>
      <c r="Q53" s="283"/>
      <c r="R53" s="281"/>
      <c r="S53" s="283"/>
      <c r="T53" s="277"/>
      <c r="U53" s="260"/>
      <c r="V53" s="8"/>
      <c r="W53" s="8"/>
      <c r="X53" s="8"/>
      <c r="Y53" s="8"/>
      <c r="Z53" s="8"/>
    </row>
    <row r="54" ht="15.75" customHeight="1">
      <c r="A54" s="260"/>
      <c r="B54" s="275"/>
      <c r="C54" s="275"/>
      <c r="D54" s="284" t="str">
        <f>DPA!D71</f>
        <v>-</v>
      </c>
      <c r="E54" s="285" t="str">
        <f>DPA!E71</f>
        <v>Televisi
Spesifikasi : Smart TV 70 Inch min. UHD 4K,
Garansi Min. 1 Tahun</v>
      </c>
      <c r="F54" s="281"/>
      <c r="G54" s="272"/>
      <c r="H54" s="282"/>
      <c r="I54" s="282"/>
      <c r="J54" s="282"/>
      <c r="K54" s="276">
        <f>DPA!S71</f>
        <v>27024800</v>
      </c>
      <c r="L54" s="277"/>
      <c r="M54" s="277">
        <f t="shared" si="6"/>
        <v>27024800</v>
      </c>
      <c r="N54" s="278"/>
      <c r="O54" s="278"/>
      <c r="P54" s="278"/>
      <c r="Q54" s="278"/>
      <c r="R54" s="277"/>
      <c r="S54" s="278"/>
      <c r="T54" s="277"/>
      <c r="U54" s="260"/>
      <c r="V54" s="8"/>
      <c r="W54" s="8"/>
      <c r="X54" s="8"/>
      <c r="Y54" s="8"/>
      <c r="Z54" s="8"/>
    </row>
    <row r="55" ht="15.75" customHeight="1">
      <c r="A55" s="260"/>
      <c r="B55" s="275"/>
      <c r="C55" s="275"/>
      <c r="D55" s="275"/>
      <c r="E55" s="275"/>
      <c r="F55" s="281"/>
      <c r="G55" s="272"/>
      <c r="H55" s="282"/>
      <c r="I55" s="282"/>
      <c r="J55" s="282"/>
      <c r="K55" s="276"/>
      <c r="L55" s="281"/>
      <c r="M55" s="277"/>
      <c r="N55" s="283"/>
      <c r="O55" s="283"/>
      <c r="P55" s="283"/>
      <c r="Q55" s="283"/>
      <c r="R55" s="281"/>
      <c r="S55" s="283"/>
      <c r="T55" s="277"/>
      <c r="U55" s="260"/>
      <c r="V55" s="8"/>
      <c r="W55" s="8"/>
      <c r="X55" s="8"/>
      <c r="Y55" s="8"/>
      <c r="Z55" s="8"/>
    </row>
    <row r="56" ht="15.75" customHeight="1">
      <c r="A56" s="260"/>
      <c r="B56" s="260"/>
      <c r="C56" s="260"/>
      <c r="D56" s="260"/>
      <c r="E56" s="8"/>
      <c r="F56" s="260"/>
      <c r="G56" s="260"/>
      <c r="H56" s="260"/>
      <c r="I56" s="260"/>
      <c r="J56" s="260"/>
      <c r="K56" s="270"/>
      <c r="L56" s="270"/>
      <c r="M56" s="270"/>
      <c r="N56" s="270"/>
      <c r="O56" s="260"/>
      <c r="P56" s="270"/>
      <c r="Q56" s="270"/>
      <c r="R56" s="270"/>
      <c r="S56" s="270"/>
      <c r="T56" s="270"/>
      <c r="U56" s="260"/>
      <c r="V56" s="8"/>
      <c r="W56" s="8"/>
      <c r="X56" s="8"/>
      <c r="Y56" s="8"/>
      <c r="Z56" s="8"/>
    </row>
    <row r="57" ht="15.75" customHeight="1">
      <c r="A57" s="260"/>
      <c r="B57" s="260"/>
      <c r="C57" s="260"/>
      <c r="D57" s="260"/>
      <c r="E57" s="8"/>
      <c r="F57" s="260"/>
      <c r="G57" s="260"/>
      <c r="H57" s="260"/>
      <c r="I57" s="260"/>
      <c r="J57" s="260"/>
      <c r="K57" s="270"/>
      <c r="L57" s="270"/>
      <c r="M57" s="270"/>
      <c r="N57" s="270"/>
      <c r="O57" s="260" t="s">
        <v>114</v>
      </c>
      <c r="P57" s="270"/>
      <c r="Q57" s="270"/>
      <c r="R57" s="270"/>
      <c r="S57" s="270"/>
      <c r="T57" s="270"/>
      <c r="U57" s="260"/>
      <c r="V57" s="8"/>
      <c r="W57" s="8"/>
      <c r="X57" s="8"/>
      <c r="Y57" s="8"/>
      <c r="Z57" s="8"/>
    </row>
    <row r="58" ht="15.75" customHeight="1">
      <c r="A58" s="260"/>
      <c r="B58" s="260"/>
      <c r="C58" s="260"/>
      <c r="D58" s="260"/>
      <c r="E58" s="8"/>
      <c r="F58" s="260"/>
      <c r="G58" s="260"/>
      <c r="H58" s="260"/>
      <c r="I58" s="260"/>
      <c r="J58" s="260"/>
      <c r="K58" s="270"/>
      <c r="L58" s="270"/>
      <c r="M58" s="270"/>
      <c r="N58" s="270"/>
      <c r="O58" s="260"/>
      <c r="P58" s="270"/>
      <c r="Q58" s="270"/>
      <c r="R58" s="270"/>
      <c r="S58" s="270"/>
      <c r="T58" s="270"/>
      <c r="U58" s="260"/>
      <c r="V58" s="8"/>
      <c r="W58" s="8"/>
      <c r="X58" s="8"/>
      <c r="Y58" s="8"/>
      <c r="Z58" s="8"/>
    </row>
    <row r="59" ht="15.75" customHeight="1">
      <c r="A59" s="260"/>
      <c r="B59" s="260"/>
      <c r="C59" s="260"/>
      <c r="D59" s="260"/>
      <c r="E59" s="260" t="s">
        <v>168</v>
      </c>
      <c r="F59" s="260"/>
      <c r="G59" s="260"/>
      <c r="H59" s="260"/>
      <c r="I59" s="260"/>
      <c r="J59" s="260"/>
      <c r="K59" s="270"/>
      <c r="L59" s="270"/>
      <c r="M59" s="270"/>
      <c r="N59" s="270"/>
      <c r="O59" s="260" t="s">
        <v>217</v>
      </c>
      <c r="P59" s="270"/>
      <c r="Q59" s="270"/>
      <c r="R59" s="270"/>
      <c r="S59" s="270"/>
      <c r="T59" s="270"/>
      <c r="U59" s="260"/>
      <c r="V59" s="8"/>
      <c r="W59" s="8"/>
      <c r="X59" s="8"/>
      <c r="Y59" s="8"/>
      <c r="Z59" s="8"/>
    </row>
    <row r="60" ht="15.75" customHeight="1">
      <c r="A60" s="260"/>
      <c r="B60" s="260"/>
      <c r="C60" s="260"/>
      <c r="D60" s="260"/>
      <c r="E60" s="256" t="s">
        <v>170</v>
      </c>
      <c r="F60" s="260"/>
      <c r="G60" s="260"/>
      <c r="H60" s="260"/>
      <c r="I60" s="260"/>
      <c r="J60" s="260"/>
      <c r="K60" s="270"/>
      <c r="L60" s="270"/>
      <c r="M60" s="270"/>
      <c r="N60" s="270"/>
      <c r="O60" s="260" t="str">
        <f>DPA!N9</f>
        <v/>
      </c>
      <c r="P60" s="270"/>
      <c r="Q60" s="270"/>
      <c r="R60" s="270"/>
      <c r="S60" s="270"/>
      <c r="T60" s="270"/>
      <c r="U60" s="260"/>
      <c r="V60" s="8"/>
      <c r="W60" s="8"/>
      <c r="X60" s="8"/>
      <c r="Y60" s="8"/>
      <c r="Z60" s="8"/>
    </row>
    <row r="61" ht="15.75" customHeight="1">
      <c r="A61" s="260"/>
      <c r="B61" s="260"/>
      <c r="C61" s="260"/>
      <c r="D61" s="260"/>
      <c r="E61" s="256" t="s">
        <v>171</v>
      </c>
      <c r="F61" s="260"/>
      <c r="G61" s="260"/>
      <c r="H61" s="260"/>
      <c r="I61" s="260"/>
      <c r="J61" s="260"/>
      <c r="K61" s="270"/>
      <c r="L61" s="270"/>
      <c r="M61" s="270"/>
      <c r="N61" s="270"/>
      <c r="O61" s="260"/>
      <c r="P61" s="270"/>
      <c r="Q61" s="270"/>
      <c r="R61" s="270"/>
      <c r="S61" s="270"/>
      <c r="T61" s="270"/>
      <c r="U61" s="260"/>
      <c r="V61" s="8"/>
      <c r="W61" s="8"/>
      <c r="X61" s="8"/>
      <c r="Y61" s="8"/>
      <c r="Z61" s="8"/>
    </row>
    <row r="62" ht="15.75" customHeight="1">
      <c r="A62" s="260"/>
      <c r="B62" s="260"/>
      <c r="C62" s="260"/>
      <c r="D62" s="260"/>
      <c r="E62" s="8"/>
      <c r="F62" s="260"/>
      <c r="G62" s="260"/>
      <c r="H62" s="260"/>
      <c r="I62" s="260"/>
      <c r="J62" s="260"/>
      <c r="K62" s="270"/>
      <c r="L62" s="270"/>
      <c r="M62" s="270"/>
      <c r="N62" s="270"/>
      <c r="O62" s="260"/>
      <c r="P62" s="270"/>
      <c r="Q62" s="270"/>
      <c r="R62" s="270"/>
      <c r="S62" s="270"/>
      <c r="T62" s="270"/>
      <c r="U62" s="260"/>
      <c r="V62" s="8"/>
      <c r="W62" s="8"/>
      <c r="X62" s="8"/>
      <c r="Y62" s="8"/>
      <c r="Z62" s="8"/>
    </row>
    <row r="63" ht="15.75" customHeight="1">
      <c r="A63" s="260"/>
      <c r="B63" s="260"/>
      <c r="C63" s="260"/>
      <c r="D63" s="260"/>
      <c r="E63" s="8"/>
      <c r="F63" s="260"/>
      <c r="G63" s="260"/>
      <c r="H63" s="260"/>
      <c r="I63" s="260"/>
      <c r="J63" s="260"/>
      <c r="K63" s="270"/>
      <c r="L63" s="270"/>
      <c r="M63" s="270"/>
      <c r="N63" s="270"/>
      <c r="O63" s="260"/>
      <c r="P63" s="270"/>
      <c r="Q63" s="270"/>
      <c r="R63" s="270"/>
      <c r="S63" s="270"/>
      <c r="T63" s="270"/>
      <c r="U63" s="260"/>
      <c r="V63" s="8"/>
      <c r="W63" s="8"/>
      <c r="X63" s="8"/>
      <c r="Y63" s="8"/>
      <c r="Z63" s="8"/>
    </row>
    <row r="64" ht="15.75" customHeight="1">
      <c r="A64" s="260"/>
      <c r="B64" s="260"/>
      <c r="C64" s="260"/>
      <c r="D64" s="260"/>
      <c r="E64" s="8"/>
      <c r="F64" s="260"/>
      <c r="G64" s="260"/>
      <c r="H64" s="260"/>
      <c r="I64" s="260"/>
      <c r="J64" s="260"/>
      <c r="K64" s="270"/>
      <c r="L64" s="270"/>
      <c r="M64" s="270"/>
      <c r="N64" s="270"/>
      <c r="O64" s="260"/>
      <c r="P64" s="270"/>
      <c r="Q64" s="270"/>
      <c r="R64" s="270"/>
      <c r="S64" s="270"/>
      <c r="T64" s="270"/>
      <c r="U64" s="260"/>
      <c r="V64" s="8"/>
      <c r="W64" s="8"/>
      <c r="X64" s="8"/>
      <c r="Y64" s="8"/>
      <c r="Z64" s="8"/>
    </row>
    <row r="65" ht="15.75" customHeight="1">
      <c r="A65" s="260"/>
      <c r="B65" s="260"/>
      <c r="C65" s="260"/>
      <c r="D65" s="260"/>
      <c r="E65" s="258" t="s">
        <v>123</v>
      </c>
      <c r="F65" s="260"/>
      <c r="G65" s="260"/>
      <c r="H65" s="260"/>
      <c r="I65" s="260"/>
      <c r="J65" s="260"/>
      <c r="K65" s="270"/>
      <c r="L65" s="270"/>
      <c r="M65" s="270"/>
      <c r="N65" s="270"/>
      <c r="O65" s="286"/>
      <c r="P65" s="270"/>
      <c r="Q65" s="270"/>
      <c r="R65" s="270"/>
      <c r="S65" s="270"/>
      <c r="T65" s="270"/>
      <c r="U65" s="260"/>
      <c r="V65" s="8"/>
      <c r="W65" s="8"/>
      <c r="X65" s="8"/>
      <c r="Y65" s="8"/>
      <c r="Z65" s="8"/>
    </row>
    <row r="66" ht="15.75" customHeight="1">
      <c r="A66" s="260"/>
      <c r="B66" s="260"/>
      <c r="C66" s="260"/>
      <c r="D66" s="260"/>
      <c r="E66" s="256" t="s">
        <v>218</v>
      </c>
      <c r="F66" s="8"/>
      <c r="G66" s="260"/>
      <c r="H66" s="260"/>
      <c r="I66" s="260"/>
      <c r="J66" s="260"/>
      <c r="K66" s="270"/>
      <c r="L66" s="270"/>
      <c r="M66" s="270"/>
      <c r="N66" s="270"/>
      <c r="O66" s="260"/>
      <c r="P66" s="270"/>
      <c r="Q66" s="270"/>
      <c r="R66" s="270"/>
      <c r="S66" s="270"/>
      <c r="T66" s="270"/>
      <c r="U66" s="260"/>
      <c r="V66" s="8"/>
      <c r="W66" s="8"/>
      <c r="X66" s="8"/>
      <c r="Y66" s="8"/>
      <c r="Z66" s="8"/>
    </row>
    <row r="67" ht="15.75" customHeight="1">
      <c r="A67" s="260"/>
      <c r="B67" s="260"/>
      <c r="C67" s="260"/>
      <c r="D67" s="260"/>
      <c r="E67" s="256" t="s">
        <v>125</v>
      </c>
      <c r="F67" s="260"/>
      <c r="G67" s="260"/>
      <c r="H67" s="260"/>
      <c r="I67" s="260"/>
      <c r="J67" s="260"/>
      <c r="K67" s="270"/>
      <c r="L67" s="270"/>
      <c r="M67" s="270"/>
      <c r="N67" s="270"/>
      <c r="O67" s="260"/>
      <c r="P67" s="270"/>
      <c r="Q67" s="270"/>
      <c r="R67" s="270"/>
      <c r="S67" s="270"/>
      <c r="T67" s="270"/>
      <c r="U67" s="260"/>
      <c r="V67" s="8"/>
      <c r="W67" s="8"/>
      <c r="X67" s="8"/>
      <c r="Y67" s="8"/>
      <c r="Z67" s="8"/>
    </row>
    <row r="68" ht="15.75" customHeight="1">
      <c r="A68" s="260"/>
      <c r="B68" s="260"/>
      <c r="C68" s="260"/>
      <c r="D68" s="260"/>
      <c r="E68" s="260"/>
      <c r="F68" s="260"/>
      <c r="G68" s="260"/>
      <c r="H68" s="260"/>
      <c r="I68" s="260"/>
      <c r="J68" s="26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60"/>
      <c r="V68" s="8"/>
      <c r="W68" s="8"/>
      <c r="X68" s="8"/>
      <c r="Y68" s="8"/>
      <c r="Z68" s="8"/>
    </row>
    <row r="69" ht="15.75" customHeight="1">
      <c r="A69" s="260"/>
      <c r="B69" s="260"/>
      <c r="C69" s="260"/>
      <c r="D69" s="260"/>
      <c r="E69" s="260"/>
      <c r="F69" s="260"/>
      <c r="G69" s="260"/>
      <c r="H69" s="260"/>
      <c r="I69" s="260"/>
      <c r="J69" s="26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60"/>
      <c r="V69" s="8"/>
      <c r="W69" s="8"/>
      <c r="X69" s="8"/>
      <c r="Y69" s="8"/>
      <c r="Z69" s="8"/>
    </row>
    <row r="70" ht="15.7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8"/>
      <c r="W70" s="8"/>
      <c r="X70" s="8"/>
      <c r="Y70" s="8"/>
      <c r="Z70" s="8"/>
    </row>
    <row r="71" ht="15.7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8"/>
      <c r="W71" s="8"/>
      <c r="X71" s="8"/>
      <c r="Y71" s="8"/>
      <c r="Z71" s="8"/>
    </row>
    <row r="72" ht="15.7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8"/>
      <c r="W72" s="8"/>
      <c r="X72" s="8"/>
      <c r="Y72" s="8"/>
      <c r="Z72" s="8"/>
    </row>
    <row r="73" ht="15.7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8"/>
      <c r="W73" s="8"/>
      <c r="X73" s="8"/>
      <c r="Y73" s="8"/>
      <c r="Z73" s="8"/>
    </row>
    <row r="74" ht="15.7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8"/>
      <c r="W74" s="8"/>
      <c r="X74" s="8"/>
      <c r="Y74" s="8"/>
      <c r="Z74" s="8"/>
    </row>
    <row r="75" ht="15.7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8"/>
      <c r="W75" s="8"/>
      <c r="X75" s="8"/>
      <c r="Y75" s="8"/>
      <c r="Z75" s="8"/>
    </row>
    <row r="76" ht="15.7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70"/>
      <c r="N76" s="260"/>
      <c r="O76" s="260"/>
      <c r="P76" s="260"/>
      <c r="Q76" s="260"/>
      <c r="R76" s="260"/>
      <c r="S76" s="260"/>
      <c r="T76" s="260"/>
      <c r="U76" s="260"/>
      <c r="V76" s="8"/>
      <c r="W76" s="8"/>
      <c r="X76" s="8"/>
      <c r="Y76" s="8"/>
      <c r="Z76" s="8"/>
    </row>
    <row r="77" ht="15.7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8"/>
      <c r="W77" s="8"/>
      <c r="X77" s="8"/>
      <c r="Y77" s="8"/>
      <c r="Z77" s="8"/>
    </row>
    <row r="78" ht="15.7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8"/>
      <c r="W78" s="8"/>
      <c r="X78" s="8"/>
      <c r="Y78" s="8"/>
      <c r="Z78" s="8"/>
    </row>
    <row r="79" ht="15.7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8"/>
      <c r="W79" s="8"/>
      <c r="X79" s="8"/>
      <c r="Y79" s="8"/>
      <c r="Z79" s="8"/>
    </row>
    <row r="80" ht="15.7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8"/>
      <c r="W80" s="8"/>
      <c r="X80" s="8"/>
      <c r="Y80" s="8"/>
      <c r="Z80" s="8"/>
    </row>
    <row r="81" ht="15.7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70"/>
      <c r="M81" s="260"/>
      <c r="N81" s="260"/>
      <c r="O81" s="260"/>
      <c r="P81" s="260"/>
      <c r="Q81" s="260"/>
      <c r="R81" s="260"/>
      <c r="S81" s="260"/>
      <c r="T81" s="260"/>
      <c r="U81" s="260"/>
      <c r="V81" s="8"/>
      <c r="W81" s="8"/>
      <c r="X81" s="8"/>
      <c r="Y81" s="8"/>
      <c r="Z81" s="8"/>
    </row>
    <row r="82" ht="15.7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70"/>
      <c r="O82" s="260"/>
      <c r="P82" s="260"/>
      <c r="Q82" s="260"/>
      <c r="R82" s="260"/>
      <c r="S82" s="260"/>
      <c r="T82" s="260"/>
      <c r="U82" s="260"/>
      <c r="V82" s="8"/>
      <c r="W82" s="8"/>
      <c r="X82" s="8"/>
      <c r="Y82" s="8"/>
      <c r="Z82" s="8"/>
    </row>
    <row r="83" ht="15.7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8"/>
      <c r="W83" s="8"/>
      <c r="X83" s="8"/>
      <c r="Y83" s="8"/>
      <c r="Z83" s="8"/>
    </row>
    <row r="84" ht="15.7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8"/>
      <c r="W84" s="8"/>
      <c r="X84" s="8"/>
      <c r="Y84" s="8"/>
      <c r="Z84" s="8"/>
    </row>
    <row r="85" ht="15.7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8"/>
      <c r="W85" s="8"/>
      <c r="X85" s="8"/>
      <c r="Y85" s="8"/>
      <c r="Z85" s="8"/>
    </row>
    <row r="86" ht="15.7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8"/>
      <c r="W86" s="8"/>
      <c r="X86" s="8"/>
      <c r="Y86" s="8"/>
      <c r="Z86" s="8"/>
    </row>
    <row r="87" ht="15.7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8"/>
      <c r="W87" s="8"/>
      <c r="X87" s="8"/>
      <c r="Y87" s="8"/>
      <c r="Z87" s="8"/>
    </row>
    <row r="88" ht="15.7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8"/>
      <c r="W88" s="8"/>
      <c r="X88" s="8"/>
      <c r="Y88" s="8"/>
      <c r="Z88" s="8"/>
    </row>
    <row r="89" ht="15.7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8"/>
      <c r="W89" s="8"/>
      <c r="X89" s="8"/>
      <c r="Y89" s="8"/>
      <c r="Z89" s="8"/>
    </row>
    <row r="90" ht="15.7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8"/>
      <c r="W90" s="8"/>
      <c r="X90" s="8"/>
      <c r="Y90" s="8"/>
      <c r="Z90" s="8"/>
    </row>
    <row r="91" ht="15.7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8"/>
      <c r="W91" s="8"/>
      <c r="X91" s="8"/>
      <c r="Y91" s="8"/>
      <c r="Z91" s="8"/>
    </row>
    <row r="92" ht="15.7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8"/>
      <c r="W92" s="8"/>
      <c r="X92" s="8"/>
      <c r="Y92" s="8"/>
      <c r="Z92" s="8"/>
    </row>
    <row r="93" ht="15.7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8"/>
      <c r="W93" s="8"/>
      <c r="X93" s="8"/>
      <c r="Y93" s="8"/>
      <c r="Z93" s="8"/>
    </row>
    <row r="94" ht="15.7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8"/>
      <c r="W94" s="8"/>
      <c r="X94" s="8"/>
      <c r="Y94" s="8"/>
      <c r="Z94" s="8"/>
    </row>
    <row r="95" ht="15.7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8"/>
      <c r="W95" s="8"/>
      <c r="X95" s="8"/>
      <c r="Y95" s="8"/>
      <c r="Z95" s="8"/>
    </row>
    <row r="96" ht="15.7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8"/>
      <c r="W96" s="8"/>
      <c r="X96" s="8"/>
      <c r="Y96" s="8"/>
      <c r="Z96" s="8"/>
    </row>
    <row r="97" ht="15.7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8"/>
      <c r="W97" s="8"/>
      <c r="X97" s="8"/>
      <c r="Y97" s="8"/>
      <c r="Z97" s="8"/>
    </row>
    <row r="98" ht="15.7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8"/>
      <c r="W98" s="8"/>
      <c r="X98" s="8"/>
      <c r="Y98" s="8"/>
      <c r="Z98" s="8"/>
    </row>
    <row r="99" ht="15.7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8"/>
      <c r="W99" s="8"/>
      <c r="X99" s="8"/>
      <c r="Y99" s="8"/>
      <c r="Z99" s="8"/>
    </row>
    <row r="100" ht="15.7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8"/>
      <c r="W100" s="8"/>
      <c r="X100" s="8"/>
      <c r="Y100" s="8"/>
      <c r="Z100" s="8"/>
    </row>
    <row r="101" ht="15.7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8"/>
      <c r="W101" s="8"/>
      <c r="X101" s="8"/>
      <c r="Y101" s="8"/>
      <c r="Z101" s="8"/>
    </row>
    <row r="102" ht="15.7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8"/>
      <c r="W102" s="8"/>
      <c r="X102" s="8"/>
      <c r="Y102" s="8"/>
      <c r="Z102" s="8"/>
    </row>
    <row r="103" ht="15.7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8"/>
      <c r="W103" s="8"/>
      <c r="X103" s="8"/>
      <c r="Y103" s="8"/>
      <c r="Z103" s="8"/>
    </row>
    <row r="104" ht="15.7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8"/>
      <c r="W104" s="8"/>
      <c r="X104" s="8"/>
      <c r="Y104" s="8"/>
      <c r="Z104" s="8"/>
    </row>
    <row r="105" ht="15.7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8"/>
      <c r="W105" s="8"/>
      <c r="X105" s="8"/>
      <c r="Y105" s="8"/>
      <c r="Z105" s="8"/>
    </row>
    <row r="106" ht="15.7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8"/>
      <c r="W106" s="8"/>
      <c r="X106" s="8"/>
      <c r="Y106" s="8"/>
      <c r="Z106" s="8"/>
    </row>
    <row r="107" ht="15.7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8"/>
      <c r="W107" s="8"/>
      <c r="X107" s="8"/>
      <c r="Y107" s="8"/>
      <c r="Z107" s="8"/>
    </row>
    <row r="108" ht="15.7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8"/>
      <c r="W108" s="8"/>
      <c r="X108" s="8"/>
      <c r="Y108" s="8"/>
      <c r="Z108" s="8"/>
    </row>
    <row r="109" ht="15.7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8"/>
      <c r="W109" s="8"/>
      <c r="X109" s="8"/>
      <c r="Y109" s="8"/>
      <c r="Z109" s="8"/>
    </row>
    <row r="110" ht="15.7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8"/>
      <c r="W110" s="8"/>
      <c r="X110" s="8"/>
      <c r="Y110" s="8"/>
      <c r="Z110" s="8"/>
    </row>
    <row r="111" ht="15.7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8"/>
      <c r="W111" s="8"/>
      <c r="X111" s="8"/>
      <c r="Y111" s="8"/>
      <c r="Z111" s="8"/>
    </row>
    <row r="112" ht="15.7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8"/>
      <c r="W112" s="8"/>
      <c r="X112" s="8"/>
      <c r="Y112" s="8"/>
      <c r="Z112" s="8"/>
    </row>
    <row r="113" ht="15.7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8"/>
      <c r="W113" s="8"/>
      <c r="X113" s="8"/>
      <c r="Y113" s="8"/>
      <c r="Z113" s="8"/>
    </row>
    <row r="114" ht="15.7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8"/>
      <c r="W114" s="8"/>
      <c r="X114" s="8"/>
      <c r="Y114" s="8"/>
      <c r="Z114" s="8"/>
    </row>
    <row r="115" ht="15.7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8"/>
      <c r="W115" s="8"/>
      <c r="X115" s="8"/>
      <c r="Y115" s="8"/>
      <c r="Z115" s="8"/>
    </row>
    <row r="116" ht="15.7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8"/>
      <c r="W116" s="8"/>
      <c r="X116" s="8"/>
      <c r="Y116" s="8"/>
      <c r="Z116" s="8"/>
    </row>
    <row r="117" ht="15.7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8"/>
      <c r="W117" s="8"/>
      <c r="X117" s="8"/>
      <c r="Y117" s="8"/>
      <c r="Z117" s="8"/>
    </row>
    <row r="118" ht="15.7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8"/>
      <c r="W118" s="8"/>
      <c r="X118" s="8"/>
      <c r="Y118" s="8"/>
      <c r="Z118" s="8"/>
    </row>
    <row r="119" ht="15.7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8"/>
      <c r="W119" s="8"/>
      <c r="X119" s="8"/>
      <c r="Y119" s="8"/>
      <c r="Z119" s="8"/>
    </row>
    <row r="120" ht="15.7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8"/>
      <c r="W120" s="8"/>
      <c r="X120" s="8"/>
      <c r="Y120" s="8"/>
      <c r="Z120" s="8"/>
    </row>
    <row r="121" ht="15.7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8"/>
      <c r="W121" s="8"/>
      <c r="X121" s="8"/>
      <c r="Y121" s="8"/>
      <c r="Z121" s="8"/>
    </row>
    <row r="122" ht="15.7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8"/>
      <c r="W122" s="8"/>
      <c r="X122" s="8"/>
      <c r="Y122" s="8"/>
      <c r="Z122" s="8"/>
    </row>
    <row r="123" ht="15.7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8"/>
      <c r="W123" s="8"/>
      <c r="X123" s="8"/>
      <c r="Y123" s="8"/>
      <c r="Z123" s="8"/>
    </row>
    <row r="124" ht="15.7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8"/>
      <c r="W124" s="8"/>
      <c r="X124" s="8"/>
      <c r="Y124" s="8"/>
      <c r="Z124" s="8"/>
    </row>
    <row r="125" ht="15.7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8"/>
      <c r="W125" s="8"/>
      <c r="X125" s="8"/>
      <c r="Y125" s="8"/>
      <c r="Z125" s="8"/>
    </row>
    <row r="126" ht="15.7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8"/>
      <c r="W126" s="8"/>
      <c r="X126" s="8"/>
      <c r="Y126" s="8"/>
      <c r="Z126" s="8"/>
    </row>
    <row r="127" ht="15.7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8"/>
      <c r="W127" s="8"/>
      <c r="X127" s="8"/>
      <c r="Y127" s="8"/>
      <c r="Z127" s="8"/>
    </row>
    <row r="128" ht="15.7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8"/>
      <c r="W128" s="8"/>
      <c r="X128" s="8"/>
      <c r="Y128" s="8"/>
      <c r="Z128" s="8"/>
    </row>
    <row r="129" ht="15.7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8"/>
      <c r="W129" s="8"/>
      <c r="X129" s="8"/>
      <c r="Y129" s="8"/>
      <c r="Z129" s="8"/>
    </row>
    <row r="130" ht="15.7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8"/>
      <c r="W130" s="8"/>
      <c r="X130" s="8"/>
      <c r="Y130" s="8"/>
      <c r="Z130" s="8"/>
    </row>
    <row r="131" ht="15.7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8"/>
      <c r="W131" s="8"/>
      <c r="X131" s="8"/>
      <c r="Y131" s="8"/>
      <c r="Z131" s="8"/>
    </row>
    <row r="132" ht="15.7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8"/>
      <c r="W132" s="8"/>
      <c r="X132" s="8"/>
      <c r="Y132" s="8"/>
      <c r="Z132" s="8"/>
    </row>
    <row r="133" ht="15.7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8"/>
      <c r="W133" s="8"/>
      <c r="X133" s="8"/>
      <c r="Y133" s="8"/>
      <c r="Z133" s="8"/>
    </row>
    <row r="134" ht="15.7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8"/>
      <c r="W134" s="8"/>
      <c r="X134" s="8"/>
      <c r="Y134" s="8"/>
      <c r="Z134" s="8"/>
    </row>
    <row r="135" ht="15.7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8"/>
      <c r="W135" s="8"/>
      <c r="X135" s="8"/>
      <c r="Y135" s="8"/>
      <c r="Z135" s="8"/>
    </row>
    <row r="136" ht="15.7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8"/>
      <c r="W136" s="8"/>
      <c r="X136" s="8"/>
      <c r="Y136" s="8"/>
      <c r="Z136" s="8"/>
    </row>
    <row r="137" ht="15.7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8"/>
      <c r="W137" s="8"/>
      <c r="X137" s="8"/>
      <c r="Y137" s="8"/>
      <c r="Z137" s="8"/>
    </row>
    <row r="138" ht="15.7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8"/>
      <c r="W138" s="8"/>
      <c r="X138" s="8"/>
      <c r="Y138" s="8"/>
      <c r="Z138" s="8"/>
    </row>
    <row r="139" ht="15.7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8"/>
      <c r="W139" s="8"/>
      <c r="X139" s="8"/>
      <c r="Y139" s="8"/>
      <c r="Z139" s="8"/>
    </row>
    <row r="140" ht="15.7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8"/>
      <c r="W140" s="8"/>
      <c r="X140" s="8"/>
      <c r="Y140" s="8"/>
      <c r="Z140" s="8"/>
    </row>
    <row r="141" ht="15.7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8"/>
      <c r="W141" s="8"/>
      <c r="X141" s="8"/>
      <c r="Y141" s="8"/>
      <c r="Z141" s="8"/>
    </row>
    <row r="142" ht="15.7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8"/>
      <c r="W142" s="8"/>
      <c r="X142" s="8"/>
      <c r="Y142" s="8"/>
      <c r="Z142" s="8"/>
    </row>
    <row r="143" ht="15.7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8"/>
      <c r="W143" s="8"/>
      <c r="X143" s="8"/>
      <c r="Y143" s="8"/>
      <c r="Z143" s="8"/>
    </row>
    <row r="144" ht="15.7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8"/>
      <c r="W144" s="8"/>
      <c r="X144" s="8"/>
      <c r="Y144" s="8"/>
      <c r="Z144" s="8"/>
    </row>
    <row r="145" ht="15.7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8"/>
      <c r="W145" s="8"/>
      <c r="X145" s="8"/>
      <c r="Y145" s="8"/>
      <c r="Z145" s="8"/>
    </row>
    <row r="146" ht="15.7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8"/>
      <c r="W146" s="8"/>
      <c r="X146" s="8"/>
      <c r="Y146" s="8"/>
      <c r="Z146" s="8"/>
    </row>
    <row r="147" ht="15.7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8"/>
      <c r="W147" s="8"/>
      <c r="X147" s="8"/>
      <c r="Y147" s="8"/>
      <c r="Z147" s="8"/>
    </row>
    <row r="148" ht="15.7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8"/>
      <c r="W148" s="8"/>
      <c r="X148" s="8"/>
      <c r="Y148" s="8"/>
      <c r="Z148" s="8"/>
    </row>
    <row r="149" ht="15.7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8"/>
      <c r="W149" s="8"/>
      <c r="X149" s="8"/>
      <c r="Y149" s="8"/>
      <c r="Z149" s="8"/>
    </row>
    <row r="150" ht="15.7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8"/>
      <c r="W150" s="8"/>
      <c r="X150" s="8"/>
      <c r="Y150" s="8"/>
      <c r="Z150" s="8"/>
    </row>
    <row r="151" ht="15.7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8"/>
      <c r="W151" s="8"/>
      <c r="X151" s="8"/>
      <c r="Y151" s="8"/>
      <c r="Z151" s="8"/>
    </row>
    <row r="152" ht="15.7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8"/>
      <c r="W152" s="8"/>
      <c r="X152" s="8"/>
      <c r="Y152" s="8"/>
      <c r="Z152" s="8"/>
    </row>
    <row r="153" ht="15.7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8"/>
      <c r="W153" s="8"/>
      <c r="X153" s="8"/>
      <c r="Y153" s="8"/>
      <c r="Z153" s="8"/>
    </row>
    <row r="154" ht="15.7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8"/>
      <c r="W154" s="8"/>
      <c r="X154" s="8"/>
      <c r="Y154" s="8"/>
      <c r="Z154" s="8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8"/>
      <c r="W155" s="8"/>
      <c r="X155" s="8"/>
      <c r="Y155" s="8"/>
      <c r="Z155" s="8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8"/>
      <c r="W156" s="8"/>
      <c r="X156" s="8"/>
      <c r="Y156" s="8"/>
      <c r="Z156" s="8"/>
    </row>
    <row r="157" ht="15.7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8"/>
      <c r="W157" s="8"/>
      <c r="X157" s="8"/>
      <c r="Y157" s="8"/>
      <c r="Z157" s="8"/>
    </row>
    <row r="158" ht="15.7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8"/>
      <c r="W158" s="8"/>
      <c r="X158" s="8"/>
      <c r="Y158" s="8"/>
      <c r="Z158" s="8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8"/>
      <c r="W159" s="8"/>
      <c r="X159" s="8"/>
      <c r="Y159" s="8"/>
      <c r="Z159" s="8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8"/>
      <c r="W160" s="8"/>
      <c r="X160" s="8"/>
      <c r="Y160" s="8"/>
      <c r="Z160" s="8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8"/>
      <c r="W161" s="8"/>
      <c r="X161" s="8"/>
      <c r="Y161" s="8"/>
      <c r="Z161" s="8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8"/>
      <c r="W162" s="8"/>
      <c r="X162" s="8"/>
      <c r="Y162" s="8"/>
      <c r="Z162" s="8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8"/>
      <c r="W163" s="8"/>
      <c r="X163" s="8"/>
      <c r="Y163" s="8"/>
      <c r="Z163" s="8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8"/>
      <c r="W164" s="8"/>
      <c r="X164" s="8"/>
      <c r="Y164" s="8"/>
      <c r="Z164" s="8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8"/>
      <c r="W165" s="8"/>
      <c r="X165" s="8"/>
      <c r="Y165" s="8"/>
      <c r="Z165" s="8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8"/>
      <c r="W166" s="8"/>
      <c r="X166" s="8"/>
      <c r="Y166" s="8"/>
      <c r="Z166" s="8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8"/>
      <c r="W167" s="8"/>
      <c r="X167" s="8"/>
      <c r="Y167" s="8"/>
      <c r="Z167" s="8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8"/>
      <c r="W168" s="8"/>
      <c r="X168" s="8"/>
      <c r="Y168" s="8"/>
      <c r="Z168" s="8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8"/>
      <c r="W169" s="8"/>
      <c r="X169" s="8"/>
      <c r="Y169" s="8"/>
      <c r="Z169" s="8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8"/>
      <c r="W170" s="8"/>
      <c r="X170" s="8"/>
      <c r="Y170" s="8"/>
      <c r="Z170" s="8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8"/>
      <c r="W171" s="8"/>
      <c r="X171" s="8"/>
      <c r="Y171" s="8"/>
      <c r="Z171" s="8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8"/>
      <c r="W172" s="8"/>
      <c r="X172" s="8"/>
      <c r="Y172" s="8"/>
      <c r="Z172" s="8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8"/>
      <c r="W173" s="8"/>
      <c r="X173" s="8"/>
      <c r="Y173" s="8"/>
      <c r="Z173" s="8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8"/>
      <c r="W174" s="8"/>
      <c r="X174" s="8"/>
      <c r="Y174" s="8"/>
      <c r="Z174" s="8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8"/>
      <c r="W175" s="8"/>
      <c r="X175" s="8"/>
      <c r="Y175" s="8"/>
      <c r="Z175" s="8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8"/>
      <c r="W176" s="8"/>
      <c r="X176" s="8"/>
      <c r="Y176" s="8"/>
      <c r="Z176" s="8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8"/>
      <c r="W177" s="8"/>
      <c r="X177" s="8"/>
      <c r="Y177" s="8"/>
      <c r="Z177" s="8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8"/>
      <c r="W178" s="8"/>
      <c r="X178" s="8"/>
      <c r="Y178" s="8"/>
      <c r="Z178" s="8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8"/>
      <c r="W179" s="8"/>
      <c r="X179" s="8"/>
      <c r="Y179" s="8"/>
      <c r="Z179" s="8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8"/>
      <c r="W180" s="8"/>
      <c r="X180" s="8"/>
      <c r="Y180" s="8"/>
      <c r="Z180" s="8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8"/>
      <c r="W181" s="8"/>
      <c r="X181" s="8"/>
      <c r="Y181" s="8"/>
      <c r="Z181" s="8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8"/>
      <c r="W182" s="8"/>
      <c r="X182" s="8"/>
      <c r="Y182" s="8"/>
      <c r="Z182" s="8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8"/>
      <c r="W183" s="8"/>
      <c r="X183" s="8"/>
      <c r="Y183" s="8"/>
      <c r="Z183" s="8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8"/>
      <c r="W184" s="8"/>
      <c r="X184" s="8"/>
      <c r="Y184" s="8"/>
      <c r="Z184" s="8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8"/>
      <c r="W185" s="8"/>
      <c r="X185" s="8"/>
      <c r="Y185" s="8"/>
      <c r="Z185" s="8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8"/>
      <c r="W186" s="8"/>
      <c r="X186" s="8"/>
      <c r="Y186" s="8"/>
      <c r="Z186" s="8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8"/>
      <c r="W187" s="8"/>
      <c r="X187" s="8"/>
      <c r="Y187" s="8"/>
      <c r="Z187" s="8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8"/>
      <c r="W188" s="8"/>
      <c r="X188" s="8"/>
      <c r="Y188" s="8"/>
      <c r="Z188" s="8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8"/>
      <c r="W189" s="8"/>
      <c r="X189" s="8"/>
      <c r="Y189" s="8"/>
      <c r="Z189" s="8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8"/>
      <c r="W190" s="8"/>
      <c r="X190" s="8"/>
      <c r="Y190" s="8"/>
      <c r="Z190" s="8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8"/>
      <c r="W191" s="8"/>
      <c r="X191" s="8"/>
      <c r="Y191" s="8"/>
      <c r="Z191" s="8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8"/>
      <c r="W192" s="8"/>
      <c r="X192" s="8"/>
      <c r="Y192" s="8"/>
      <c r="Z192" s="8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8"/>
      <c r="W193" s="8"/>
      <c r="X193" s="8"/>
      <c r="Y193" s="8"/>
      <c r="Z193" s="8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8"/>
      <c r="W194" s="8"/>
      <c r="X194" s="8"/>
      <c r="Y194" s="8"/>
      <c r="Z194" s="8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8"/>
      <c r="W195" s="8"/>
      <c r="X195" s="8"/>
      <c r="Y195" s="8"/>
      <c r="Z195" s="8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8"/>
      <c r="W196" s="8"/>
      <c r="X196" s="8"/>
      <c r="Y196" s="8"/>
      <c r="Z196" s="8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8"/>
      <c r="W197" s="8"/>
      <c r="X197" s="8"/>
      <c r="Y197" s="8"/>
      <c r="Z197" s="8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8"/>
      <c r="W198" s="8"/>
      <c r="X198" s="8"/>
      <c r="Y198" s="8"/>
      <c r="Z198" s="8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8"/>
      <c r="W199" s="8"/>
      <c r="X199" s="8"/>
      <c r="Y199" s="8"/>
      <c r="Z199" s="8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8"/>
      <c r="W200" s="8"/>
      <c r="X200" s="8"/>
      <c r="Y200" s="8"/>
      <c r="Z200" s="8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8"/>
      <c r="W201" s="8"/>
      <c r="X201" s="8"/>
      <c r="Y201" s="8"/>
      <c r="Z201" s="8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8"/>
      <c r="W202" s="8"/>
      <c r="X202" s="8"/>
      <c r="Y202" s="8"/>
      <c r="Z202" s="8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8"/>
      <c r="W203" s="8"/>
      <c r="X203" s="8"/>
      <c r="Y203" s="8"/>
      <c r="Z203" s="8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8"/>
      <c r="W204" s="8"/>
      <c r="X204" s="8"/>
      <c r="Y204" s="8"/>
      <c r="Z204" s="8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8"/>
      <c r="W205" s="8"/>
      <c r="X205" s="8"/>
      <c r="Y205" s="8"/>
      <c r="Z205" s="8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8"/>
      <c r="W206" s="8"/>
      <c r="X206" s="8"/>
      <c r="Y206" s="8"/>
      <c r="Z206" s="8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8"/>
      <c r="W207" s="8"/>
      <c r="X207" s="8"/>
      <c r="Y207" s="8"/>
      <c r="Z207" s="8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8"/>
      <c r="W208" s="8"/>
      <c r="X208" s="8"/>
      <c r="Y208" s="8"/>
      <c r="Z208" s="8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8"/>
      <c r="W209" s="8"/>
      <c r="X209" s="8"/>
      <c r="Y209" s="8"/>
      <c r="Z209" s="8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8"/>
      <c r="W210" s="8"/>
      <c r="X210" s="8"/>
      <c r="Y210" s="8"/>
      <c r="Z210" s="8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8"/>
      <c r="W211" s="8"/>
      <c r="X211" s="8"/>
      <c r="Y211" s="8"/>
      <c r="Z211" s="8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8"/>
      <c r="W212" s="8"/>
      <c r="X212" s="8"/>
      <c r="Y212" s="8"/>
      <c r="Z212" s="8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8"/>
      <c r="W213" s="8"/>
      <c r="X213" s="8"/>
      <c r="Y213" s="8"/>
      <c r="Z213" s="8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8"/>
      <c r="W214" s="8"/>
      <c r="X214" s="8"/>
      <c r="Y214" s="8"/>
      <c r="Z214" s="8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8"/>
      <c r="W215" s="8"/>
      <c r="X215" s="8"/>
      <c r="Y215" s="8"/>
      <c r="Z215" s="8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8"/>
      <c r="W216" s="8"/>
      <c r="X216" s="8"/>
      <c r="Y216" s="8"/>
      <c r="Z216" s="8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8"/>
      <c r="W217" s="8"/>
      <c r="X217" s="8"/>
      <c r="Y217" s="8"/>
      <c r="Z217" s="8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8"/>
      <c r="W218" s="8"/>
      <c r="X218" s="8"/>
      <c r="Y218" s="8"/>
      <c r="Z218" s="8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8"/>
      <c r="W219" s="8"/>
      <c r="X219" s="8"/>
      <c r="Y219" s="8"/>
      <c r="Z219" s="8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8"/>
      <c r="W220" s="8"/>
      <c r="X220" s="8"/>
      <c r="Y220" s="8"/>
      <c r="Z220" s="8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8"/>
      <c r="W221" s="8"/>
      <c r="X221" s="8"/>
      <c r="Y221" s="8"/>
      <c r="Z221" s="8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8"/>
      <c r="W222" s="8"/>
      <c r="X222" s="8"/>
      <c r="Y222" s="8"/>
      <c r="Z222" s="8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8"/>
      <c r="W223" s="8"/>
      <c r="X223" s="8"/>
      <c r="Y223" s="8"/>
      <c r="Z223" s="8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8"/>
      <c r="W224" s="8"/>
      <c r="X224" s="8"/>
      <c r="Y224" s="8"/>
      <c r="Z224" s="8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8"/>
      <c r="W225" s="8"/>
      <c r="X225" s="8"/>
      <c r="Y225" s="8"/>
      <c r="Z225" s="8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8"/>
      <c r="W226" s="8"/>
      <c r="X226" s="8"/>
      <c r="Y226" s="8"/>
      <c r="Z226" s="8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8"/>
      <c r="W227" s="8"/>
      <c r="X227" s="8"/>
      <c r="Y227" s="8"/>
      <c r="Z227" s="8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8"/>
      <c r="W228" s="8"/>
      <c r="X228" s="8"/>
      <c r="Y228" s="8"/>
      <c r="Z228" s="8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8"/>
      <c r="W229" s="8"/>
      <c r="X229" s="8"/>
      <c r="Y229" s="8"/>
      <c r="Z229" s="8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8"/>
      <c r="W230" s="8"/>
      <c r="X230" s="8"/>
      <c r="Y230" s="8"/>
      <c r="Z230" s="8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8"/>
      <c r="W231" s="8"/>
      <c r="X231" s="8"/>
      <c r="Y231" s="8"/>
      <c r="Z231" s="8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8"/>
      <c r="W232" s="8"/>
      <c r="X232" s="8"/>
      <c r="Y232" s="8"/>
      <c r="Z232" s="8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8"/>
      <c r="W233" s="8"/>
      <c r="X233" s="8"/>
      <c r="Y233" s="8"/>
      <c r="Z233" s="8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8"/>
      <c r="W234" s="8"/>
      <c r="X234" s="8"/>
      <c r="Y234" s="8"/>
      <c r="Z234" s="8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8"/>
      <c r="W235" s="8"/>
      <c r="X235" s="8"/>
      <c r="Y235" s="8"/>
      <c r="Z235" s="8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8"/>
      <c r="W236" s="8"/>
      <c r="X236" s="8"/>
      <c r="Y236" s="8"/>
      <c r="Z236" s="8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8"/>
      <c r="W237" s="8"/>
      <c r="X237" s="8"/>
      <c r="Y237" s="8"/>
      <c r="Z237" s="8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8"/>
      <c r="W238" s="8"/>
      <c r="X238" s="8"/>
      <c r="Y238" s="8"/>
      <c r="Z238" s="8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8"/>
      <c r="W239" s="8"/>
      <c r="X239" s="8"/>
      <c r="Y239" s="8"/>
      <c r="Z239" s="8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8"/>
      <c r="W240" s="8"/>
      <c r="X240" s="8"/>
      <c r="Y240" s="8"/>
      <c r="Z240" s="8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8"/>
      <c r="W241" s="8"/>
      <c r="X241" s="8"/>
      <c r="Y241" s="8"/>
      <c r="Z241" s="8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8"/>
      <c r="W242" s="8"/>
      <c r="X242" s="8"/>
      <c r="Y242" s="8"/>
      <c r="Z242" s="8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8"/>
      <c r="W243" s="8"/>
      <c r="X243" s="8"/>
      <c r="Y243" s="8"/>
      <c r="Z243" s="8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8"/>
      <c r="W244" s="8"/>
      <c r="X244" s="8"/>
      <c r="Y244" s="8"/>
      <c r="Z244" s="8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8"/>
      <c r="W245" s="8"/>
      <c r="X245" s="8"/>
      <c r="Y245" s="8"/>
      <c r="Z245" s="8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8"/>
      <c r="W246" s="8"/>
      <c r="X246" s="8"/>
      <c r="Y246" s="8"/>
      <c r="Z246" s="8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8"/>
      <c r="W247" s="8"/>
      <c r="X247" s="8"/>
      <c r="Y247" s="8"/>
      <c r="Z247" s="8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8"/>
      <c r="W248" s="8"/>
      <c r="X248" s="8"/>
      <c r="Y248" s="8"/>
      <c r="Z248" s="8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8"/>
      <c r="W249" s="8"/>
      <c r="X249" s="8"/>
      <c r="Y249" s="8"/>
      <c r="Z249" s="8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8"/>
      <c r="W250" s="8"/>
      <c r="X250" s="8"/>
      <c r="Y250" s="8"/>
      <c r="Z250" s="8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8"/>
      <c r="W251" s="8"/>
      <c r="X251" s="8"/>
      <c r="Y251" s="8"/>
      <c r="Z251" s="8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8"/>
      <c r="W252" s="8"/>
      <c r="X252" s="8"/>
      <c r="Y252" s="8"/>
      <c r="Z252" s="8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8"/>
      <c r="W253" s="8"/>
      <c r="X253" s="8"/>
      <c r="Y253" s="8"/>
      <c r="Z253" s="8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8"/>
      <c r="W254" s="8"/>
      <c r="X254" s="8"/>
      <c r="Y254" s="8"/>
      <c r="Z254" s="8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8"/>
      <c r="W255" s="8"/>
      <c r="X255" s="8"/>
      <c r="Y255" s="8"/>
      <c r="Z255" s="8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8"/>
      <c r="W256" s="8"/>
      <c r="X256" s="8"/>
      <c r="Y256" s="8"/>
      <c r="Z256" s="8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8"/>
      <c r="W257" s="8"/>
      <c r="X257" s="8"/>
      <c r="Y257" s="8"/>
      <c r="Z257" s="8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8"/>
      <c r="W258" s="8"/>
      <c r="X258" s="8"/>
      <c r="Y258" s="8"/>
      <c r="Z258" s="8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8"/>
      <c r="W259" s="8"/>
      <c r="X259" s="8"/>
      <c r="Y259" s="8"/>
      <c r="Z259" s="8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8"/>
      <c r="W260" s="8"/>
      <c r="X260" s="8"/>
      <c r="Y260" s="8"/>
      <c r="Z260" s="8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8"/>
      <c r="W261" s="8"/>
      <c r="X261" s="8"/>
      <c r="Y261" s="8"/>
      <c r="Z261" s="8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8"/>
      <c r="W262" s="8"/>
      <c r="X262" s="8"/>
      <c r="Y262" s="8"/>
      <c r="Z262" s="8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8"/>
      <c r="W263" s="8"/>
      <c r="X263" s="8"/>
      <c r="Y263" s="8"/>
      <c r="Z263" s="8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8"/>
      <c r="W264" s="8"/>
      <c r="X264" s="8"/>
      <c r="Y264" s="8"/>
      <c r="Z264" s="8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8"/>
      <c r="W265" s="8"/>
      <c r="X265" s="8"/>
      <c r="Y265" s="8"/>
      <c r="Z265" s="8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8"/>
      <c r="W266" s="8"/>
      <c r="X266" s="8"/>
      <c r="Y266" s="8"/>
      <c r="Z266" s="8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60"/>
      <c r="B1" s="261" t="s">
        <v>172</v>
      </c>
      <c r="U1" s="260"/>
      <c r="V1" s="8"/>
      <c r="W1" s="8"/>
      <c r="X1" s="8"/>
      <c r="Y1" s="8"/>
      <c r="Z1" s="8"/>
    </row>
    <row r="2">
      <c r="A2" s="260"/>
      <c r="B2" s="262" t="s">
        <v>173</v>
      </c>
      <c r="U2" s="260"/>
      <c r="V2" s="8"/>
      <c r="W2" s="8"/>
      <c r="X2" s="8"/>
      <c r="Y2" s="8"/>
      <c r="Z2" s="8"/>
    </row>
    <row r="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8"/>
      <c r="W3" s="8"/>
      <c r="X3" s="8"/>
      <c r="Y3" s="8"/>
      <c r="Z3" s="8"/>
    </row>
    <row r="4">
      <c r="A4" s="260"/>
      <c r="B4" s="260" t="s">
        <v>174</v>
      </c>
      <c r="C4" s="260"/>
      <c r="D4" s="260" t="s">
        <v>6</v>
      </c>
      <c r="E4" s="260"/>
      <c r="F4" s="260"/>
      <c r="G4" s="260"/>
      <c r="H4" s="260"/>
      <c r="I4" s="260"/>
      <c r="J4" s="260"/>
      <c r="K4" s="260"/>
      <c r="L4" s="260"/>
      <c r="M4" s="260" t="s">
        <v>175</v>
      </c>
      <c r="N4" s="260"/>
      <c r="O4" s="260"/>
      <c r="P4" s="260"/>
      <c r="Q4" s="260"/>
      <c r="R4" s="260"/>
      <c r="S4" s="260"/>
      <c r="T4" s="260"/>
      <c r="U4" s="260"/>
      <c r="V4" s="8"/>
      <c r="W4" s="8"/>
      <c r="X4" s="8"/>
      <c r="Y4" s="8"/>
      <c r="Z4" s="8"/>
    </row>
    <row r="5">
      <c r="A5" s="260"/>
      <c r="B5" s="260" t="s">
        <v>176</v>
      </c>
      <c r="C5" s="260"/>
      <c r="D5" s="260" t="s">
        <v>6</v>
      </c>
      <c r="E5" s="260"/>
      <c r="F5" s="260"/>
      <c r="G5" s="260"/>
      <c r="H5" s="260"/>
      <c r="I5" s="260"/>
      <c r="J5" s="260"/>
      <c r="K5" s="260"/>
      <c r="L5" s="260"/>
      <c r="M5" s="260" t="s">
        <v>177</v>
      </c>
      <c r="N5" s="260"/>
      <c r="O5" s="260"/>
      <c r="P5" s="260"/>
      <c r="Q5" s="260"/>
      <c r="R5" s="260"/>
      <c r="S5" s="260"/>
      <c r="T5" s="260"/>
      <c r="U5" s="260"/>
      <c r="V5" s="8"/>
      <c r="W5" s="8"/>
      <c r="X5" s="8"/>
      <c r="Y5" s="8"/>
      <c r="Z5" s="8"/>
    </row>
    <row r="6">
      <c r="A6" s="260"/>
      <c r="B6" s="260" t="s">
        <v>178</v>
      </c>
      <c r="C6" s="260"/>
      <c r="D6" s="260" t="s">
        <v>6</v>
      </c>
      <c r="E6" s="260"/>
      <c r="F6" s="260"/>
      <c r="G6" s="260"/>
      <c r="H6" s="260"/>
      <c r="I6" s="260"/>
      <c r="J6" s="260"/>
      <c r="K6" s="260"/>
      <c r="L6" s="260"/>
      <c r="M6" s="260" t="s">
        <v>179</v>
      </c>
      <c r="N6" s="260"/>
      <c r="O6" s="260"/>
      <c r="P6" s="260"/>
      <c r="Q6" s="260"/>
      <c r="R6" s="260"/>
      <c r="S6" s="260"/>
      <c r="T6" s="260"/>
      <c r="U6" s="260"/>
      <c r="V6" s="8"/>
      <c r="W6" s="8"/>
      <c r="X6" s="8"/>
      <c r="Y6" s="8"/>
      <c r="Z6" s="8"/>
    </row>
    <row r="7">
      <c r="A7" s="260"/>
      <c r="B7" s="260" t="s">
        <v>180</v>
      </c>
      <c r="C7" s="260"/>
      <c r="D7" s="260" t="s">
        <v>6</v>
      </c>
      <c r="E7" s="260"/>
      <c r="F7" s="260"/>
      <c r="G7" s="260"/>
      <c r="H7" s="260"/>
      <c r="I7" s="260"/>
      <c r="J7" s="260"/>
      <c r="K7" s="260"/>
      <c r="L7" s="260"/>
      <c r="M7" s="8"/>
      <c r="N7" s="260"/>
      <c r="O7" s="260"/>
      <c r="P7" s="260"/>
      <c r="Q7" s="260"/>
      <c r="R7" s="260"/>
      <c r="S7" s="263"/>
      <c r="U7" s="260"/>
      <c r="V7" s="8"/>
      <c r="W7" s="8"/>
      <c r="X7" s="8"/>
      <c r="Y7" s="8"/>
      <c r="Z7" s="8"/>
    </row>
    <row r="8">
      <c r="A8" s="260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4" t="s">
        <v>167</v>
      </c>
      <c r="U8" s="260"/>
      <c r="V8" s="8"/>
      <c r="W8" s="8"/>
      <c r="X8" s="8"/>
      <c r="Y8" s="8"/>
      <c r="Z8" s="8"/>
    </row>
    <row r="9">
      <c r="A9" s="260"/>
      <c r="B9" s="265" t="s">
        <v>181</v>
      </c>
      <c r="C9" s="266" t="s">
        <v>182</v>
      </c>
      <c r="D9" s="5"/>
      <c r="E9" s="23"/>
      <c r="F9" s="267" t="s">
        <v>183</v>
      </c>
      <c r="G9" s="37"/>
      <c r="H9" s="37"/>
      <c r="I9" s="37"/>
      <c r="J9" s="37"/>
      <c r="K9" s="38"/>
      <c r="L9" s="267" t="s">
        <v>184</v>
      </c>
      <c r="M9" s="37"/>
      <c r="N9" s="37"/>
      <c r="O9" s="37"/>
      <c r="P9" s="37"/>
      <c r="Q9" s="37"/>
      <c r="R9" s="37"/>
      <c r="S9" s="38"/>
      <c r="T9" s="265" t="s">
        <v>185</v>
      </c>
      <c r="U9" s="260"/>
      <c r="V9" s="8"/>
      <c r="W9" s="8"/>
      <c r="X9" s="8"/>
      <c r="Y9" s="8"/>
      <c r="Z9" s="8"/>
    </row>
    <row r="10">
      <c r="A10" s="260"/>
      <c r="B10" s="12"/>
      <c r="C10" s="135"/>
      <c r="E10" s="109"/>
      <c r="F10" s="268" t="s">
        <v>186</v>
      </c>
      <c r="G10" s="268" t="s">
        <v>187</v>
      </c>
      <c r="H10" s="268" t="s">
        <v>188</v>
      </c>
      <c r="I10" s="269" t="s">
        <v>189</v>
      </c>
      <c r="J10" s="23"/>
      <c r="K10" s="268" t="s">
        <v>190</v>
      </c>
      <c r="L10" s="265" t="s">
        <v>191</v>
      </c>
      <c r="M10" s="265" t="s">
        <v>192</v>
      </c>
      <c r="N10" s="267" t="s">
        <v>193</v>
      </c>
      <c r="O10" s="37"/>
      <c r="P10" s="37"/>
      <c r="Q10" s="37"/>
      <c r="R10" s="37"/>
      <c r="S10" s="38"/>
      <c r="T10" s="12"/>
      <c r="U10" s="270"/>
      <c r="V10" s="8"/>
      <c r="W10" s="8"/>
      <c r="X10" s="8"/>
      <c r="Y10" s="8"/>
      <c r="Z10" s="8"/>
    </row>
    <row r="11">
      <c r="A11" s="260"/>
      <c r="B11" s="12"/>
      <c r="C11" s="135"/>
      <c r="E11" s="109"/>
      <c r="F11" s="12"/>
      <c r="G11" s="12"/>
      <c r="H11" s="12"/>
      <c r="I11" s="135"/>
      <c r="J11" s="109"/>
      <c r="K11" s="12"/>
      <c r="L11" s="12"/>
      <c r="M11" s="12"/>
      <c r="N11" s="267" t="s">
        <v>194</v>
      </c>
      <c r="O11" s="37"/>
      <c r="P11" s="38"/>
      <c r="Q11" s="267" t="s">
        <v>195</v>
      </c>
      <c r="R11" s="37"/>
      <c r="S11" s="38"/>
      <c r="T11" s="12"/>
      <c r="U11" s="270"/>
      <c r="V11" s="8"/>
      <c r="W11" s="8"/>
      <c r="X11" s="8"/>
      <c r="Y11" s="8"/>
      <c r="Z11" s="8"/>
    </row>
    <row r="12">
      <c r="A12" s="260"/>
      <c r="B12" s="18"/>
      <c r="C12" s="49"/>
      <c r="D12" s="11"/>
      <c r="E12" s="50"/>
      <c r="F12" s="18"/>
      <c r="G12" s="18"/>
      <c r="H12" s="18"/>
      <c r="I12" s="49"/>
      <c r="J12" s="50"/>
      <c r="K12" s="18"/>
      <c r="L12" s="18"/>
      <c r="M12" s="18"/>
      <c r="N12" s="271" t="s">
        <v>196</v>
      </c>
      <c r="O12" s="271" t="s">
        <v>197</v>
      </c>
      <c r="P12" s="271" t="s">
        <v>198</v>
      </c>
      <c r="Q12" s="271" t="s">
        <v>196</v>
      </c>
      <c r="R12" s="271" t="s">
        <v>199</v>
      </c>
      <c r="S12" s="271" t="s">
        <v>200</v>
      </c>
      <c r="T12" s="18"/>
      <c r="U12" s="260"/>
      <c r="V12" s="8"/>
      <c r="W12" s="8"/>
      <c r="X12" s="8"/>
      <c r="Y12" s="8"/>
      <c r="Z12" s="8"/>
    </row>
    <row r="13">
      <c r="A13" s="260"/>
      <c r="B13" s="272" t="s">
        <v>201</v>
      </c>
      <c r="C13" s="273" t="s">
        <v>202</v>
      </c>
      <c r="D13" s="37"/>
      <c r="E13" s="38"/>
      <c r="F13" s="272" t="s">
        <v>203</v>
      </c>
      <c r="G13" s="272" t="s">
        <v>204</v>
      </c>
      <c r="H13" s="272" t="s">
        <v>205</v>
      </c>
      <c r="I13" s="273" t="s">
        <v>206</v>
      </c>
      <c r="J13" s="38"/>
      <c r="K13" s="272" t="s">
        <v>207</v>
      </c>
      <c r="L13" s="272" t="s">
        <v>208</v>
      </c>
      <c r="M13" s="272" t="s">
        <v>209</v>
      </c>
      <c r="N13" s="272" t="s">
        <v>210</v>
      </c>
      <c r="O13" s="272" t="s">
        <v>211</v>
      </c>
      <c r="P13" s="272" t="s">
        <v>212</v>
      </c>
      <c r="Q13" s="272" t="s">
        <v>213</v>
      </c>
      <c r="R13" s="272" t="s">
        <v>214</v>
      </c>
      <c r="S13" s="272" t="s">
        <v>215</v>
      </c>
      <c r="T13" s="272" t="s">
        <v>216</v>
      </c>
      <c r="U13" s="260"/>
      <c r="V13" s="8"/>
      <c r="W13" s="8"/>
      <c r="X13" s="8"/>
      <c r="Y13" s="8"/>
      <c r="Z13" s="8"/>
    </row>
    <row r="14">
      <c r="A14" s="274"/>
      <c r="B14" s="275">
        <f>DPA!B31</f>
        <v>5</v>
      </c>
      <c r="C14" s="275" t="str">
        <f>DPA!C31</f>
        <v>BELANJA DAERAH</v>
      </c>
      <c r="D14" s="275"/>
      <c r="E14" s="275"/>
      <c r="F14" s="275"/>
      <c r="G14" s="275"/>
      <c r="H14" s="275"/>
      <c r="I14" s="275"/>
      <c r="J14" s="275"/>
      <c r="K14" s="276">
        <f>DPA!S31</f>
        <v>94371800</v>
      </c>
      <c r="L14" s="277"/>
      <c r="M14" s="277">
        <f t="shared" ref="M14:M15" si="1">K14</f>
        <v>94371800</v>
      </c>
      <c r="N14" s="278"/>
      <c r="O14" s="278"/>
      <c r="P14" s="278"/>
      <c r="Q14" s="278"/>
      <c r="R14" s="277"/>
      <c r="S14" s="277"/>
      <c r="T14" s="277"/>
      <c r="U14" s="279"/>
      <c r="V14" s="72"/>
      <c r="W14" s="72"/>
      <c r="X14" s="72"/>
      <c r="Y14" s="72"/>
      <c r="Z14" s="72"/>
    </row>
    <row r="15">
      <c r="A15" s="274"/>
      <c r="B15" s="275" t="str">
        <f>DPA!B32</f>
        <v>5.1</v>
      </c>
      <c r="C15" s="275" t="str">
        <f>DPA!C32</f>
        <v>BELANJA OPERASI</v>
      </c>
      <c r="D15" s="275"/>
      <c r="E15" s="275"/>
      <c r="F15" s="277"/>
      <c r="G15" s="280"/>
      <c r="H15" s="280"/>
      <c r="I15" s="280"/>
      <c r="J15" s="280"/>
      <c r="K15" s="276">
        <f>DPA!S32</f>
        <v>32999400</v>
      </c>
      <c r="L15" s="277"/>
      <c r="M15" s="277">
        <f t="shared" si="1"/>
        <v>32999400</v>
      </c>
      <c r="N15" s="278"/>
      <c r="O15" s="278"/>
      <c r="P15" s="278"/>
      <c r="Q15" s="278"/>
      <c r="R15" s="277"/>
      <c r="S15" s="277"/>
      <c r="T15" s="277"/>
      <c r="U15" s="279"/>
      <c r="V15" s="72"/>
      <c r="W15" s="72"/>
      <c r="X15" s="72"/>
      <c r="Y15" s="72"/>
      <c r="Z15" s="72"/>
    </row>
    <row r="16">
      <c r="A16" s="274"/>
      <c r="B16" s="275"/>
      <c r="C16" s="275"/>
      <c r="D16" s="275"/>
      <c r="E16" s="275"/>
      <c r="F16" s="277"/>
      <c r="G16" s="280"/>
      <c r="H16" s="280"/>
      <c r="I16" s="280"/>
      <c r="J16" s="280"/>
      <c r="K16" s="276"/>
      <c r="L16" s="277"/>
      <c r="M16" s="277"/>
      <c r="N16" s="278"/>
      <c r="O16" s="278"/>
      <c r="P16" s="278"/>
      <c r="Q16" s="278"/>
      <c r="R16" s="277"/>
      <c r="S16" s="277"/>
      <c r="T16" s="277"/>
      <c r="U16" s="279"/>
      <c r="V16" s="72"/>
      <c r="W16" s="72"/>
      <c r="X16" s="72"/>
      <c r="Y16" s="72"/>
      <c r="Z16" s="72"/>
    </row>
    <row r="17">
      <c r="A17" s="274"/>
      <c r="B17" s="275" t="str">
        <f>DPA!B34</f>
        <v> 5.2.2.</v>
      </c>
      <c r="C17" s="275" t="str">
        <f>DPA!C34</f>
        <v> Belanja Barang dan Jasa</v>
      </c>
      <c r="D17" s="275"/>
      <c r="E17" s="275"/>
      <c r="F17" s="277"/>
      <c r="G17" s="280"/>
      <c r="H17" s="280"/>
      <c r="I17" s="280"/>
      <c r="J17" s="280"/>
      <c r="K17" s="276">
        <f>DPA!S34</f>
        <v>32999400</v>
      </c>
      <c r="L17" s="277"/>
      <c r="M17" s="277">
        <f>K17</f>
        <v>32999400</v>
      </c>
      <c r="N17" s="278"/>
      <c r="O17" s="278"/>
      <c r="P17" s="278"/>
      <c r="Q17" s="278"/>
      <c r="R17" s="185"/>
      <c r="S17" s="185"/>
      <c r="T17" s="277"/>
      <c r="U17" s="279"/>
      <c r="V17" s="72"/>
      <c r="W17" s="72"/>
      <c r="X17" s="72"/>
      <c r="Y17" s="72"/>
      <c r="Z17" s="72"/>
    </row>
    <row r="18">
      <c r="A18" s="274"/>
      <c r="B18" s="275"/>
      <c r="C18" s="275"/>
      <c r="D18" s="275"/>
      <c r="E18" s="275"/>
      <c r="F18" s="277"/>
      <c r="G18" s="280"/>
      <c r="H18" s="280"/>
      <c r="I18" s="280"/>
      <c r="J18" s="280"/>
      <c r="K18" s="276"/>
      <c r="L18" s="277"/>
      <c r="M18" s="277"/>
      <c r="N18" s="278"/>
      <c r="O18" s="278"/>
      <c r="P18" s="278"/>
      <c r="Q18" s="278"/>
      <c r="R18" s="277"/>
      <c r="S18" s="278"/>
      <c r="T18" s="277"/>
      <c r="U18" s="279"/>
      <c r="V18" s="72"/>
      <c r="W18" s="72"/>
      <c r="X18" s="72"/>
      <c r="Y18" s="72"/>
      <c r="Z18" s="72"/>
    </row>
    <row r="19">
      <c r="A19" s="274"/>
      <c r="B19" s="275" t="str">
        <f>DPA!B36</f>
        <v> 5.2.2.01</v>
      </c>
      <c r="C19" s="275" t="str">
        <f>DPA!C36</f>
        <v>Belanja Bahan Pakai Habis</v>
      </c>
      <c r="D19" s="275"/>
      <c r="E19" s="275"/>
      <c r="F19" s="277"/>
      <c r="G19" s="280"/>
      <c r="H19" s="280"/>
      <c r="I19" s="280"/>
      <c r="J19" s="280"/>
      <c r="K19" s="276">
        <f>DPA!S36</f>
        <v>1791400</v>
      </c>
      <c r="L19" s="277"/>
      <c r="M19" s="277">
        <f>K19</f>
        <v>1791400</v>
      </c>
      <c r="N19" s="278"/>
      <c r="O19" s="278"/>
      <c r="P19" s="278"/>
      <c r="Q19" s="278"/>
      <c r="R19" s="277"/>
      <c r="S19" s="278"/>
      <c r="T19" s="277"/>
      <c r="U19" s="279"/>
      <c r="V19" s="72"/>
      <c r="W19" s="72"/>
      <c r="X19" s="72"/>
      <c r="Y19" s="72"/>
      <c r="Z19" s="72"/>
    </row>
    <row r="20">
      <c r="A20" s="260"/>
      <c r="B20" s="275"/>
      <c r="C20" s="275"/>
      <c r="D20" s="275"/>
      <c r="E20" s="275"/>
      <c r="F20" s="281"/>
      <c r="G20" s="282"/>
      <c r="H20" s="282"/>
      <c r="I20" s="282"/>
      <c r="J20" s="282"/>
      <c r="K20" s="276"/>
      <c r="L20" s="281"/>
      <c r="M20" s="277"/>
      <c r="N20" s="283"/>
      <c r="O20" s="283"/>
      <c r="P20" s="278"/>
      <c r="Q20" s="283"/>
      <c r="R20" s="277"/>
      <c r="S20" s="278"/>
      <c r="T20" s="277"/>
      <c r="U20" s="270"/>
      <c r="V20" s="8"/>
      <c r="W20" s="8"/>
      <c r="X20" s="8"/>
      <c r="Y20" s="8"/>
      <c r="Z20" s="8"/>
    </row>
    <row r="21" ht="15.75" customHeight="1">
      <c r="A21" s="260"/>
      <c r="B21" s="275" t="str">
        <f>DPA!B38</f>
        <v>5.1.02.01.01.0024</v>
      </c>
      <c r="C21" s="275" t="str">
        <f>DPA!C38</f>
        <v>Belanja Alat/Bahan untuk Kegiatan Kantor-Alat Tulis Kantor</v>
      </c>
      <c r="D21" s="275"/>
      <c r="E21" s="275"/>
      <c r="F21" s="281"/>
      <c r="G21" s="282"/>
      <c r="H21" s="282"/>
      <c r="I21" s="282"/>
      <c r="J21" s="282"/>
      <c r="K21" s="276">
        <f>DPA!S38</f>
        <v>656000</v>
      </c>
      <c r="L21" s="277"/>
      <c r="M21" s="277">
        <f t="shared" ref="M21:M28" si="2">K21</f>
        <v>656000</v>
      </c>
      <c r="N21" s="278"/>
      <c r="O21" s="278"/>
      <c r="P21" s="278"/>
      <c r="Q21" s="278"/>
      <c r="R21" s="277"/>
      <c r="S21" s="278"/>
      <c r="T21" s="277"/>
      <c r="U21" s="270"/>
      <c r="V21" s="8"/>
      <c r="W21" s="8"/>
      <c r="X21" s="8"/>
      <c r="Y21" s="8"/>
      <c r="Z21" s="8"/>
    </row>
    <row r="22" ht="15.75" customHeight="1">
      <c r="A22" s="260"/>
      <c r="B22" s="275"/>
      <c r="C22" s="275"/>
      <c r="D22" s="284" t="str">
        <f>DPA!D39</f>
        <v>-</v>
      </c>
      <c r="E22" s="285" t="str">
        <f>DPA!E39</f>
        <v>Alat Tulis Kantor
Spesifikasi : Stof Map Folio</v>
      </c>
      <c r="F22" s="281"/>
      <c r="G22" s="282"/>
      <c r="H22" s="282"/>
      <c r="I22" s="282"/>
      <c r="J22" s="282"/>
      <c r="K22" s="276">
        <f>DPA!S39</f>
        <v>330000</v>
      </c>
      <c r="L22" s="277"/>
      <c r="M22" s="277">
        <f t="shared" si="2"/>
        <v>330000</v>
      </c>
      <c r="N22" s="278"/>
      <c r="O22" s="278"/>
      <c r="P22" s="278"/>
      <c r="Q22" s="278"/>
      <c r="R22" s="277"/>
      <c r="S22" s="278"/>
      <c r="T22" s="277"/>
      <c r="U22" s="270"/>
      <c r="V22" s="8"/>
      <c r="W22" s="8"/>
      <c r="X22" s="8"/>
      <c r="Y22" s="8"/>
      <c r="Z22" s="8"/>
    </row>
    <row r="23" ht="15.75" customHeight="1">
      <c r="A23" s="260"/>
      <c r="B23" s="275"/>
      <c r="C23" s="275"/>
      <c r="D23" s="284" t="str">
        <f>DPA!D40</f>
        <v>-</v>
      </c>
      <c r="E23" s="285" t="str">
        <f>DPA!E40</f>
        <v>Alat Tulis Kantor
Spesifikasi : Trigonal Clip No. 5 Atom</v>
      </c>
      <c r="F23" s="281"/>
      <c r="G23" s="282"/>
      <c r="H23" s="283"/>
      <c r="I23" s="282"/>
      <c r="J23" s="282"/>
      <c r="K23" s="276">
        <f>DPA!S40</f>
        <v>66000</v>
      </c>
      <c r="L23" s="281"/>
      <c r="M23" s="277">
        <f t="shared" si="2"/>
        <v>66000</v>
      </c>
      <c r="N23" s="283"/>
      <c r="O23" s="283"/>
      <c r="P23" s="283"/>
      <c r="Q23" s="283"/>
      <c r="R23" s="281"/>
      <c r="S23" s="283"/>
      <c r="T23" s="277"/>
      <c r="U23" s="270"/>
      <c r="V23" s="8"/>
      <c r="W23" s="8"/>
      <c r="X23" s="8"/>
      <c r="Y23" s="8"/>
      <c r="Z23" s="8"/>
    </row>
    <row r="24" ht="15.75" customHeight="1">
      <c r="A24" s="260"/>
      <c r="B24" s="275"/>
      <c r="C24" s="275"/>
      <c r="D24" s="284" t="str">
        <f>DPA!D41</f>
        <v>-</v>
      </c>
      <c r="E24" s="285" t="str">
        <f>DPA!E41</f>
        <v>Alat Tulis Kantor
Spesifikasi : Box File Jumbo Bantex</v>
      </c>
      <c r="F24" s="281"/>
      <c r="G24" s="272"/>
      <c r="H24" s="282"/>
      <c r="I24" s="282"/>
      <c r="J24" s="282"/>
      <c r="K24" s="276">
        <f>DPA!S41</f>
        <v>260000</v>
      </c>
      <c r="L24" s="281"/>
      <c r="M24" s="277">
        <f t="shared" si="2"/>
        <v>260000</v>
      </c>
      <c r="N24" s="283"/>
      <c r="O24" s="283"/>
      <c r="P24" s="283"/>
      <c r="Q24" s="283"/>
      <c r="R24" s="281"/>
      <c r="S24" s="283"/>
      <c r="T24" s="277"/>
      <c r="U24" s="260"/>
      <c r="V24" s="8"/>
      <c r="W24" s="8"/>
      <c r="X24" s="8"/>
      <c r="Y24" s="8"/>
      <c r="Z24" s="8"/>
    </row>
    <row r="25" ht="15.75" customHeight="1">
      <c r="A25" s="260"/>
      <c r="B25" s="275"/>
      <c r="C25" s="275"/>
      <c r="D25" s="275"/>
      <c r="E25" s="275"/>
      <c r="F25" s="281"/>
      <c r="G25" s="272"/>
      <c r="H25" s="282"/>
      <c r="I25" s="282"/>
      <c r="J25" s="282"/>
      <c r="K25" s="276" t="str">
        <f>DPA!S42</f>
        <v/>
      </c>
      <c r="L25" s="281"/>
      <c r="M25" s="277" t="str">
        <f t="shared" si="2"/>
        <v/>
      </c>
      <c r="N25" s="283"/>
      <c r="O25" s="283"/>
      <c r="P25" s="283"/>
      <c r="Q25" s="283"/>
      <c r="R25" s="281"/>
      <c r="S25" s="283"/>
      <c r="T25" s="277"/>
      <c r="U25" s="260"/>
      <c r="V25" s="8"/>
      <c r="W25" s="8"/>
      <c r="X25" s="8"/>
      <c r="Y25" s="8"/>
      <c r="Z25" s="8"/>
    </row>
    <row r="26" ht="15.75" customHeight="1">
      <c r="A26" s="260"/>
      <c r="B26" s="275" t="str">
        <f>DPA!B43</f>
        <v>5.1.02.01.01.0025</v>
      </c>
      <c r="C26" s="275" t="str">
        <f>DPA!C43</f>
        <v>Belanja Alat/Bahan untuk Kegiatan Kantor- Kertas dan Cover</v>
      </c>
      <c r="D26" s="275"/>
      <c r="E26" s="275"/>
      <c r="F26" s="281"/>
      <c r="G26" s="272"/>
      <c r="H26" s="282"/>
      <c r="I26" s="282"/>
      <c r="J26" s="282"/>
      <c r="K26" s="276">
        <f>DPA!S43</f>
        <v>441400</v>
      </c>
      <c r="L26" s="281"/>
      <c r="M26" s="277">
        <f t="shared" si="2"/>
        <v>441400</v>
      </c>
      <c r="N26" s="283"/>
      <c r="O26" s="283"/>
      <c r="P26" s="283"/>
      <c r="Q26" s="283"/>
      <c r="R26" s="281"/>
      <c r="S26" s="283"/>
      <c r="T26" s="277"/>
      <c r="U26" s="260"/>
      <c r="V26" s="8"/>
      <c r="W26" s="8"/>
      <c r="X26" s="8"/>
      <c r="Y26" s="8"/>
      <c r="Z26" s="8"/>
    </row>
    <row r="27" ht="15.75" customHeight="1">
      <c r="A27" s="260"/>
      <c r="B27" s="275"/>
      <c r="C27" s="275"/>
      <c r="D27" s="284" t="str">
        <f>DPA!D44</f>
        <v>-</v>
      </c>
      <c r="E27" s="285" t="str">
        <f>DPA!E44</f>
        <v>Kertas dan Cover
Spesifikasi : Kertas HVS A4 70 gr</v>
      </c>
      <c r="F27" s="281"/>
      <c r="G27" s="272"/>
      <c r="H27" s="282"/>
      <c r="I27" s="282"/>
      <c r="J27" s="282"/>
      <c r="K27" s="276">
        <f>DPA!S44</f>
        <v>164800</v>
      </c>
      <c r="L27" s="281"/>
      <c r="M27" s="277">
        <f t="shared" si="2"/>
        <v>164800</v>
      </c>
      <c r="N27" s="283"/>
      <c r="O27" s="283"/>
      <c r="P27" s="283"/>
      <c r="Q27" s="283"/>
      <c r="R27" s="281"/>
      <c r="S27" s="283"/>
      <c r="T27" s="277"/>
      <c r="U27" s="260"/>
      <c r="V27" s="8"/>
      <c r="W27" s="8"/>
      <c r="X27" s="8"/>
      <c r="Y27" s="8"/>
      <c r="Z27" s="8"/>
    </row>
    <row r="28" ht="15.75" customHeight="1">
      <c r="A28" s="260"/>
      <c r="B28" s="275"/>
      <c r="C28" s="275"/>
      <c r="D28" s="284" t="str">
        <f>DPA!D45</f>
        <v>-</v>
      </c>
      <c r="E28" s="285" t="str">
        <f>DPA!E45</f>
        <v>Kertas dan Cover
Spesifikasi : Kertas HVS F4 70 gr</v>
      </c>
      <c r="F28" s="281"/>
      <c r="G28" s="272"/>
      <c r="H28" s="282"/>
      <c r="I28" s="282"/>
      <c r="J28" s="282"/>
      <c r="K28" s="276">
        <f>DPA!S45</f>
        <v>276600</v>
      </c>
      <c r="L28" s="281"/>
      <c r="M28" s="277">
        <f t="shared" si="2"/>
        <v>276600</v>
      </c>
      <c r="N28" s="283"/>
      <c r="O28" s="283"/>
      <c r="P28" s="283"/>
      <c r="Q28" s="283"/>
      <c r="R28" s="281"/>
      <c r="S28" s="283"/>
      <c r="T28" s="277"/>
      <c r="U28" s="260"/>
      <c r="V28" s="8"/>
      <c r="W28" s="8"/>
      <c r="X28" s="8"/>
      <c r="Y28" s="8"/>
      <c r="Z28" s="8"/>
    </row>
    <row r="29" ht="15.75" customHeight="1">
      <c r="A29" s="260"/>
      <c r="B29" s="275"/>
      <c r="C29" s="275"/>
      <c r="D29" s="275"/>
      <c r="E29" s="275"/>
      <c r="F29" s="281"/>
      <c r="G29" s="272"/>
      <c r="H29" s="282"/>
      <c r="I29" s="282"/>
      <c r="J29" s="282"/>
      <c r="K29" s="276"/>
      <c r="L29" s="281"/>
      <c r="M29" s="277"/>
      <c r="N29" s="283"/>
      <c r="O29" s="283"/>
      <c r="P29" s="283"/>
      <c r="Q29" s="283"/>
      <c r="R29" s="281"/>
      <c r="S29" s="283"/>
      <c r="T29" s="277"/>
      <c r="U29" s="260"/>
      <c r="V29" s="8"/>
      <c r="W29" s="8"/>
      <c r="X29" s="8"/>
      <c r="Y29" s="8"/>
      <c r="Z29" s="8"/>
    </row>
    <row r="30" ht="15.75" customHeight="1">
      <c r="A30" s="260"/>
      <c r="B30" s="275" t="str">
        <f>DPA!B47</f>
        <v>5.1.02.01.01.0026</v>
      </c>
      <c r="C30" s="275" t="str">
        <f>DPA!C47</f>
        <v>Belanja Alat/Bahan untuk Kegiatan Kantor- Bahan Cetak</v>
      </c>
      <c r="D30" s="275"/>
      <c r="E30" s="275"/>
      <c r="F30" s="281"/>
      <c r="G30" s="272"/>
      <c r="H30" s="282"/>
      <c r="I30" s="282"/>
      <c r="J30" s="282"/>
      <c r="K30" s="276">
        <f>DPA!S47</f>
        <v>544000</v>
      </c>
      <c r="L30" s="281"/>
      <c r="M30" s="277">
        <f t="shared" ref="M30:M31" si="3">K30</f>
        <v>544000</v>
      </c>
      <c r="N30" s="283"/>
      <c r="O30" s="283"/>
      <c r="P30" s="283"/>
      <c r="Q30" s="283"/>
      <c r="R30" s="281"/>
      <c r="S30" s="283"/>
      <c r="T30" s="277"/>
      <c r="U30" s="260"/>
      <c r="V30" s="8"/>
      <c r="W30" s="8"/>
      <c r="X30" s="8"/>
      <c r="Y30" s="8"/>
      <c r="Z30" s="8"/>
    </row>
    <row r="31" ht="15.75" customHeight="1">
      <c r="A31" s="260"/>
      <c r="B31" s="275"/>
      <c r="C31" s="275"/>
      <c r="D31" s="284" t="str">
        <f>DPA!D48</f>
        <v>-</v>
      </c>
      <c r="E31" s="285" t="str">
        <f>DPA!E48</f>
        <v>Foto Copy
Spesifikasi : Foto copy Hitam Putih-HVS
A4/F4</v>
      </c>
      <c r="F31" s="281"/>
      <c r="G31" s="272"/>
      <c r="H31" s="282"/>
      <c r="I31" s="282"/>
      <c r="J31" s="282"/>
      <c r="K31" s="276">
        <f>DPA!S48</f>
        <v>544000</v>
      </c>
      <c r="L31" s="277"/>
      <c r="M31" s="277">
        <f t="shared" si="3"/>
        <v>544000</v>
      </c>
      <c r="N31" s="278"/>
      <c r="O31" s="278"/>
      <c r="P31" s="278"/>
      <c r="Q31" s="278"/>
      <c r="R31" s="277"/>
      <c r="S31" s="278"/>
      <c r="T31" s="277"/>
      <c r="U31" s="260"/>
      <c r="V31" s="8"/>
      <c r="W31" s="8"/>
      <c r="X31" s="8"/>
      <c r="Y31" s="8"/>
      <c r="Z31" s="8"/>
    </row>
    <row r="32" ht="15.75" customHeight="1">
      <c r="A32" s="260"/>
      <c r="B32" s="275"/>
      <c r="C32" s="275"/>
      <c r="D32" s="275"/>
      <c r="E32" s="275"/>
      <c r="F32" s="281"/>
      <c r="G32" s="272"/>
      <c r="H32" s="282"/>
      <c r="I32" s="282"/>
      <c r="J32" s="282"/>
      <c r="K32" s="276"/>
      <c r="L32" s="281"/>
      <c r="M32" s="277"/>
      <c r="N32" s="283"/>
      <c r="O32" s="283"/>
      <c r="P32" s="283"/>
      <c r="Q32" s="283"/>
      <c r="R32" s="281"/>
      <c r="S32" s="283"/>
      <c r="T32" s="277"/>
      <c r="U32" s="260"/>
      <c r="V32" s="8"/>
      <c r="W32" s="8"/>
      <c r="X32" s="8"/>
      <c r="Y32" s="8"/>
      <c r="Z32" s="8"/>
    </row>
    <row r="33" ht="15.75" customHeight="1">
      <c r="A33" s="260"/>
      <c r="B33" s="275" t="str">
        <f>DPA!B50</f>
        <v>5.1.02.01.01.0027</v>
      </c>
      <c r="C33" s="275" t="str">
        <f>DPA!C50</f>
        <v>Belanja Alat/Bahan untuk Kegiatan Kantor-Benda Pos</v>
      </c>
      <c r="D33" s="275"/>
      <c r="E33" s="275"/>
      <c r="F33" s="281"/>
      <c r="G33" s="272"/>
      <c r="H33" s="282"/>
      <c r="I33" s="282"/>
      <c r="J33" s="282"/>
      <c r="K33" s="276">
        <f>DPA!S50</f>
        <v>150000</v>
      </c>
      <c r="L33" s="281"/>
      <c r="M33" s="277">
        <f t="shared" ref="M33:M34" si="4">K33</f>
        <v>150000</v>
      </c>
      <c r="N33" s="283"/>
      <c r="O33" s="283"/>
      <c r="P33" s="283"/>
      <c r="Q33" s="283"/>
      <c r="R33" s="281"/>
      <c r="S33" s="283"/>
      <c r="T33" s="277"/>
      <c r="U33" s="260"/>
      <c r="V33" s="8"/>
      <c r="W33" s="8"/>
      <c r="X33" s="8"/>
      <c r="Y33" s="8"/>
      <c r="Z33" s="8"/>
    </row>
    <row r="34" ht="15.75" customHeight="1">
      <c r="A34" s="260"/>
      <c r="B34" s="275"/>
      <c r="C34" s="275"/>
      <c r="D34" s="284" t="str">
        <f>DPA!D51</f>
        <v>-</v>
      </c>
      <c r="E34" s="284" t="str">
        <f>DPA!E51</f>
        <v>Materai
Spesifikasi: Materai 10.000</v>
      </c>
      <c r="F34" s="281"/>
      <c r="G34" s="272"/>
      <c r="H34" s="282"/>
      <c r="I34" s="282"/>
      <c r="J34" s="282"/>
      <c r="K34" s="276">
        <f>DPA!S51</f>
        <v>150000</v>
      </c>
      <c r="L34" s="281"/>
      <c r="M34" s="277">
        <f t="shared" si="4"/>
        <v>150000</v>
      </c>
      <c r="N34" s="283"/>
      <c r="O34" s="283"/>
      <c r="P34" s="283"/>
      <c r="Q34" s="283"/>
      <c r="R34" s="281"/>
      <c r="S34" s="283"/>
      <c r="T34" s="277"/>
      <c r="U34" s="260"/>
      <c r="V34" s="8"/>
      <c r="W34" s="8"/>
      <c r="X34" s="8"/>
      <c r="Y34" s="8"/>
      <c r="Z34" s="8"/>
    </row>
    <row r="35" ht="15.75" customHeight="1">
      <c r="A35" s="274"/>
      <c r="B35" s="275"/>
      <c r="C35" s="275"/>
      <c r="D35" s="275"/>
      <c r="E35" s="275"/>
      <c r="F35" s="277"/>
      <c r="G35" s="271"/>
      <c r="H35" s="280"/>
      <c r="I35" s="280"/>
      <c r="J35" s="280"/>
      <c r="K35" s="276"/>
      <c r="L35" s="277"/>
      <c r="M35" s="277"/>
      <c r="N35" s="278"/>
      <c r="O35" s="278"/>
      <c r="P35" s="278"/>
      <c r="Q35" s="278"/>
      <c r="R35" s="277"/>
      <c r="S35" s="278"/>
      <c r="T35" s="277"/>
      <c r="U35" s="274"/>
      <c r="V35" s="72"/>
      <c r="W35" s="72"/>
      <c r="X35" s="72"/>
      <c r="Y35" s="72"/>
      <c r="Z35" s="72"/>
    </row>
    <row r="36" ht="15.75" customHeight="1">
      <c r="A36" s="260"/>
      <c r="B36" s="275" t="str">
        <f>DPA!B53</f>
        <v>5.1.02.04</v>
      </c>
      <c r="C36" s="275" t="str">
        <f>DPA!C53</f>
        <v>Belanja Perjalanan Dinas</v>
      </c>
      <c r="D36" s="275"/>
      <c r="E36" s="275"/>
      <c r="F36" s="281"/>
      <c r="G36" s="272"/>
      <c r="H36" s="282"/>
      <c r="I36" s="282"/>
      <c r="J36" s="282"/>
      <c r="K36" s="276">
        <f>DPA!S53</f>
        <v>31208000</v>
      </c>
      <c r="L36" s="277"/>
      <c r="M36" s="277">
        <f t="shared" ref="M36:M43" si="5">K36</f>
        <v>31208000</v>
      </c>
      <c r="N36" s="278"/>
      <c r="O36" s="278"/>
      <c r="P36" s="278"/>
      <c r="Q36" s="278"/>
      <c r="R36" s="277"/>
      <c r="S36" s="278"/>
      <c r="T36" s="277"/>
      <c r="U36" s="260"/>
      <c r="V36" s="8"/>
      <c r="W36" s="8"/>
      <c r="X36" s="8"/>
      <c r="Y36" s="8"/>
      <c r="Z36" s="8"/>
    </row>
    <row r="37" ht="15.75" customHeight="1">
      <c r="A37" s="260"/>
      <c r="B37" s="275" t="str">
        <f>DPA!B54</f>
        <v>5.1.02.04.01</v>
      </c>
      <c r="C37" s="275" t="str">
        <f>DPA!C54</f>
        <v>Belanja Perjalanan Dinas Dalam Negeri</v>
      </c>
      <c r="D37" s="275" t="str">
        <f>DPA!D54</f>
        <v/>
      </c>
      <c r="E37" s="275" t="str">
        <f>DPA!E54</f>
        <v/>
      </c>
      <c r="F37" s="281"/>
      <c r="G37" s="272"/>
      <c r="H37" s="282"/>
      <c r="I37" s="282"/>
      <c r="J37" s="282"/>
      <c r="K37" s="276">
        <f>DPA!S54</f>
        <v>31208000</v>
      </c>
      <c r="L37" s="281"/>
      <c r="M37" s="277">
        <f t="shared" si="5"/>
        <v>31208000</v>
      </c>
      <c r="N37" s="283"/>
      <c r="O37" s="283"/>
      <c r="P37" s="283"/>
      <c r="Q37" s="283"/>
      <c r="R37" s="281"/>
      <c r="S37" s="283"/>
      <c r="T37" s="277"/>
      <c r="U37" s="260"/>
      <c r="V37" s="8"/>
      <c r="W37" s="8"/>
      <c r="X37" s="8"/>
      <c r="Y37" s="8"/>
      <c r="Z37" s="8"/>
    </row>
    <row r="38" ht="15.75" customHeight="1">
      <c r="A38" s="260"/>
      <c r="B38" s="275" t="str">
        <f>DPA!B55</f>
        <v>5.1.02.04.01.0001</v>
      </c>
      <c r="C38" s="275" t="str">
        <f>DPA!C55</f>
        <v>Belanja Perjalanan Dinas Biasa</v>
      </c>
      <c r="D38" s="275" t="str">
        <f>DPA!D55</f>
        <v/>
      </c>
      <c r="E38" s="275" t="str">
        <f>DPA!E55</f>
        <v/>
      </c>
      <c r="F38" s="281"/>
      <c r="G38" s="272"/>
      <c r="H38" s="282"/>
      <c r="I38" s="282"/>
      <c r="J38" s="282"/>
      <c r="K38" s="276">
        <f>DPA!S55</f>
        <v>31208000</v>
      </c>
      <c r="L38" s="281"/>
      <c r="M38" s="277">
        <f t="shared" si="5"/>
        <v>31208000</v>
      </c>
      <c r="N38" s="283"/>
      <c r="O38" s="283"/>
      <c r="P38" s="283"/>
      <c r="Q38" s="283"/>
      <c r="R38" s="281"/>
      <c r="S38" s="283"/>
      <c r="T38" s="277"/>
      <c r="U38" s="260"/>
      <c r="V38" s="8"/>
      <c r="W38" s="8"/>
      <c r="X38" s="8"/>
      <c r="Y38" s="8"/>
      <c r="Z38" s="8"/>
    </row>
    <row r="39" ht="15.75" customHeight="1">
      <c r="A39" s="260"/>
      <c r="B39" s="275"/>
      <c r="C39" s="275"/>
      <c r="D39" s="284" t="str">
        <f>DPA!D56</f>
        <v>-</v>
      </c>
      <c r="E39" s="285" t="str">
        <f>DPA!E56</f>
        <v>Penginapan Dalam Negeri di- D.K.I. JAKARTA
Spesifikasi: PEJABAT ESELON III / GOLONGAN IV</v>
      </c>
      <c r="F39" s="281"/>
      <c r="G39" s="272"/>
      <c r="H39" s="282"/>
      <c r="I39" s="282"/>
      <c r="J39" s="282"/>
      <c r="K39" s="276">
        <f>DPA!S56</f>
        <v>7936000</v>
      </c>
      <c r="L39" s="281"/>
      <c r="M39" s="277">
        <f t="shared" si="5"/>
        <v>7936000</v>
      </c>
      <c r="N39" s="283"/>
      <c r="O39" s="283"/>
      <c r="P39" s="283"/>
      <c r="Q39" s="283"/>
      <c r="R39" s="281"/>
      <c r="S39" s="283"/>
      <c r="T39" s="277"/>
      <c r="U39" s="260"/>
      <c r="V39" s="8"/>
      <c r="W39" s="8"/>
      <c r="X39" s="8"/>
      <c r="Y39" s="8"/>
      <c r="Z39" s="8"/>
    </row>
    <row r="40" ht="15.75" customHeight="1">
      <c r="A40" s="274"/>
      <c r="B40" s="275"/>
      <c r="C40" s="275"/>
      <c r="D40" s="284" t="str">
        <f>DPA!D57</f>
        <v>-</v>
      </c>
      <c r="E40" s="285" t="str">
        <f>DPA!E57</f>
        <v>Taxi dari/ke Bandara - Perjalanan Dinas Dalam Negeri
Spesifikasi: BALI</v>
      </c>
      <c r="F40" s="277"/>
      <c r="G40" s="271"/>
      <c r="H40" s="280"/>
      <c r="I40" s="280"/>
      <c r="J40" s="280"/>
      <c r="K40" s="276">
        <f>DPA!S57</f>
        <v>1816000</v>
      </c>
      <c r="L40" s="277"/>
      <c r="M40" s="277">
        <f t="shared" si="5"/>
        <v>1816000</v>
      </c>
      <c r="N40" s="278"/>
      <c r="O40" s="278"/>
      <c r="P40" s="278"/>
      <c r="Q40" s="278"/>
      <c r="R40" s="277"/>
      <c r="S40" s="278"/>
      <c r="T40" s="277"/>
      <c r="U40" s="274"/>
      <c r="V40" s="72"/>
      <c r="W40" s="72"/>
      <c r="X40" s="72"/>
      <c r="Y40" s="72"/>
      <c r="Z40" s="72"/>
    </row>
    <row r="41" ht="15.75" customHeight="1">
      <c r="A41" s="260"/>
      <c r="B41" s="275"/>
      <c r="C41" s="275"/>
      <c r="D41" s="284" t="str">
        <f>DPA!D58</f>
        <v>-</v>
      </c>
      <c r="E41" s="285" t="str">
        <f>DPA!E58</f>
        <v>Taxi dari/ke Bandara - Perjalanan Dinas Dalam Negeri
Spesifikasi: D.K.I. JAKARTA</v>
      </c>
      <c r="F41" s="281"/>
      <c r="G41" s="272"/>
      <c r="H41" s="282"/>
      <c r="I41" s="282"/>
      <c r="J41" s="282"/>
      <c r="K41" s="276">
        <f>DPA!S58</f>
        <v>2048000</v>
      </c>
      <c r="L41" s="277"/>
      <c r="M41" s="277">
        <f t="shared" si="5"/>
        <v>2048000</v>
      </c>
      <c r="N41" s="278"/>
      <c r="O41" s="278"/>
      <c r="P41" s="278"/>
      <c r="Q41" s="278"/>
      <c r="R41" s="277"/>
      <c r="S41" s="278"/>
      <c r="T41" s="277"/>
      <c r="U41" s="260"/>
      <c r="V41" s="8"/>
      <c r="W41" s="8"/>
      <c r="X41" s="8"/>
      <c r="Y41" s="8"/>
      <c r="Z41" s="8"/>
    </row>
    <row r="42" ht="15.75" customHeight="1">
      <c r="A42" s="260"/>
      <c r="B42" s="275"/>
      <c r="C42" s="275"/>
      <c r="D42" s="284" t="str">
        <f>DPA!D59</f>
        <v>-</v>
      </c>
      <c r="E42" s="285" t="str">
        <f>DPA!E59</f>
        <v>Satuan Biaya Tiket Dalam Negeri
Spesifikasi : Denpasar - Jakarta</v>
      </c>
      <c r="F42" s="281"/>
      <c r="G42" s="272"/>
      <c r="H42" s="282"/>
      <c r="I42" s="282"/>
      <c r="J42" s="282"/>
      <c r="K42" s="276">
        <f>DPA!S59</f>
        <v>13048000</v>
      </c>
      <c r="L42" s="281"/>
      <c r="M42" s="277">
        <f t="shared" si="5"/>
        <v>13048000</v>
      </c>
      <c r="N42" s="283"/>
      <c r="O42" s="283"/>
      <c r="P42" s="283"/>
      <c r="Q42" s="283"/>
      <c r="R42" s="281"/>
      <c r="S42" s="283"/>
      <c r="T42" s="277"/>
      <c r="U42" s="260"/>
      <c r="V42" s="8"/>
      <c r="W42" s="8"/>
      <c r="X42" s="8"/>
      <c r="Y42" s="8"/>
      <c r="Z42" s="8"/>
    </row>
    <row r="43" ht="15.75" customHeight="1">
      <c r="A43" s="260"/>
      <c r="B43" s="275"/>
      <c r="C43" s="275"/>
      <c r="D43" s="284" t="str">
        <f>DPA!D60</f>
        <v>-</v>
      </c>
      <c r="E43" s="285" t="str">
        <f>DPA!E60</f>
        <v>Uang Harian Perjalanan Dinas Luar Kota/Luar Daerah
Spesifikasi: D.K.I. JAKARTA</v>
      </c>
      <c r="F43" s="281"/>
      <c r="G43" s="272"/>
      <c r="H43" s="282"/>
      <c r="I43" s="282"/>
      <c r="J43" s="282"/>
      <c r="K43" s="276">
        <f>DPA!S60</f>
        <v>6360000</v>
      </c>
      <c r="L43" s="281"/>
      <c r="M43" s="277">
        <f t="shared" si="5"/>
        <v>6360000</v>
      </c>
      <c r="N43" s="283"/>
      <c r="O43" s="283"/>
      <c r="P43" s="283"/>
      <c r="Q43" s="283"/>
      <c r="R43" s="281"/>
      <c r="S43" s="283"/>
      <c r="T43" s="277"/>
      <c r="U43" s="260"/>
      <c r="V43" s="8"/>
      <c r="W43" s="8"/>
      <c r="X43" s="8"/>
      <c r="Y43" s="8"/>
      <c r="Z43" s="8"/>
    </row>
    <row r="44" ht="15.75" customHeight="1">
      <c r="A44" s="260"/>
      <c r="B44" s="275"/>
      <c r="C44" s="275"/>
      <c r="D44" s="275"/>
      <c r="E44" s="275"/>
      <c r="F44" s="281"/>
      <c r="G44" s="272"/>
      <c r="H44" s="282"/>
      <c r="I44" s="282"/>
      <c r="J44" s="282"/>
      <c r="K44" s="276"/>
      <c r="L44" s="277"/>
      <c r="M44" s="277"/>
      <c r="N44" s="278"/>
      <c r="O44" s="278"/>
      <c r="P44" s="278"/>
      <c r="Q44" s="278"/>
      <c r="R44" s="277"/>
      <c r="S44" s="278"/>
      <c r="T44" s="277"/>
      <c r="U44" s="260"/>
      <c r="V44" s="8"/>
      <c r="W44" s="8"/>
      <c r="X44" s="8"/>
      <c r="Y44" s="8"/>
      <c r="Z44" s="8"/>
    </row>
    <row r="45" ht="15.75" customHeight="1">
      <c r="A45" s="260"/>
      <c r="B45" s="275" t="str">
        <f>DPA!B62</f>
        <v>5.2 </v>
      </c>
      <c r="C45" s="275" t="str">
        <f>DPA!C62</f>
        <v>Belanja Modal</v>
      </c>
      <c r="D45" s="275"/>
      <c r="E45" s="275"/>
      <c r="F45" s="281"/>
      <c r="G45" s="272"/>
      <c r="H45" s="282"/>
      <c r="I45" s="282"/>
      <c r="J45" s="282"/>
      <c r="K45" s="276">
        <f>DPA!S62</f>
        <v>61372400</v>
      </c>
      <c r="L45" s="281"/>
      <c r="M45" s="277">
        <f t="shared" ref="M45:M54" si="6">K45</f>
        <v>61372400</v>
      </c>
      <c r="N45" s="283"/>
      <c r="O45" s="283"/>
      <c r="P45" s="283"/>
      <c r="Q45" s="283"/>
      <c r="R45" s="281"/>
      <c r="S45" s="283"/>
      <c r="T45" s="277"/>
      <c r="U45" s="260"/>
      <c r="V45" s="8"/>
      <c r="W45" s="8"/>
      <c r="X45" s="8"/>
      <c r="Y45" s="8"/>
      <c r="Z45" s="8"/>
    </row>
    <row r="46" ht="15.75" customHeight="1">
      <c r="A46" s="260"/>
      <c r="B46" s="275" t="str">
        <f>DPA!B63</f>
        <v>5.2.02</v>
      </c>
      <c r="C46" s="275" t="str">
        <f>DPA!C63</f>
        <v>Belanja Modal Perapatan dan Mesin</v>
      </c>
      <c r="D46" s="275"/>
      <c r="E46" s="275"/>
      <c r="F46" s="281"/>
      <c r="G46" s="272"/>
      <c r="H46" s="282"/>
      <c r="I46" s="282"/>
      <c r="J46" s="282"/>
      <c r="K46" s="276">
        <f>DPA!S63</f>
        <v>61372400</v>
      </c>
      <c r="L46" s="281"/>
      <c r="M46" s="277">
        <f t="shared" si="6"/>
        <v>61372400</v>
      </c>
      <c r="N46" s="283"/>
      <c r="O46" s="283"/>
      <c r="P46" s="283"/>
      <c r="Q46" s="283"/>
      <c r="R46" s="281"/>
      <c r="S46" s="283"/>
      <c r="T46" s="277"/>
      <c r="U46" s="260"/>
      <c r="V46" s="8"/>
      <c r="W46" s="8"/>
      <c r="X46" s="8"/>
      <c r="Y46" s="8"/>
      <c r="Z46" s="8"/>
    </row>
    <row r="47" ht="15.75" customHeight="1">
      <c r="A47" s="260"/>
      <c r="B47" s="275" t="str">
        <f>DPA!B64</f>
        <v>5.2.02.05</v>
      </c>
      <c r="C47" s="275" t="str">
        <f>DPA!C64</f>
        <v>Belanja Modal Alat Kantor dan Rumah Tangga</v>
      </c>
      <c r="D47" s="275"/>
      <c r="E47" s="275"/>
      <c r="F47" s="281"/>
      <c r="G47" s="272"/>
      <c r="H47" s="282"/>
      <c r="I47" s="282"/>
      <c r="J47" s="282"/>
      <c r="K47" s="276">
        <f>DPA!S64</f>
        <v>61372400</v>
      </c>
      <c r="L47" s="281"/>
      <c r="M47" s="277">
        <f t="shared" si="6"/>
        <v>61372400</v>
      </c>
      <c r="N47" s="283"/>
      <c r="O47" s="283"/>
      <c r="P47" s="283"/>
      <c r="Q47" s="283"/>
      <c r="R47" s="281"/>
      <c r="S47" s="283"/>
      <c r="T47" s="277"/>
      <c r="U47" s="260"/>
      <c r="V47" s="8"/>
      <c r="W47" s="8"/>
      <c r="X47" s="8"/>
      <c r="Y47" s="8"/>
      <c r="Z47" s="8"/>
    </row>
    <row r="48" ht="15.75" customHeight="1">
      <c r="A48" s="260"/>
      <c r="B48" s="275" t="str">
        <f>DPA!B65</f>
        <v>5.2.02.05.001</v>
      </c>
      <c r="C48" s="275" t="str">
        <f>DPA!C65</f>
        <v>Belanja Modal Alat Kantor</v>
      </c>
      <c r="D48" s="275"/>
      <c r="E48" s="275"/>
      <c r="F48" s="281"/>
      <c r="G48" s="272"/>
      <c r="H48" s="282"/>
      <c r="I48" s="282"/>
      <c r="J48" s="282"/>
      <c r="K48" s="276">
        <f>DPA!S65</f>
        <v>34347600</v>
      </c>
      <c r="L48" s="281"/>
      <c r="M48" s="277">
        <f t="shared" si="6"/>
        <v>34347600</v>
      </c>
      <c r="N48" s="283"/>
      <c r="O48" s="283"/>
      <c r="P48" s="283"/>
      <c r="Q48" s="283"/>
      <c r="R48" s="281"/>
      <c r="S48" s="283"/>
      <c r="T48" s="277"/>
      <c r="U48" s="260"/>
      <c r="V48" s="8"/>
      <c r="W48" s="8"/>
      <c r="X48" s="8"/>
      <c r="Y48" s="8"/>
      <c r="Z48" s="8"/>
    </row>
    <row r="49" ht="15.75" customHeight="1">
      <c r="A49" s="260"/>
      <c r="B49" s="275" t="str">
        <f>DPA!B66</f>
        <v>5.2.02.05.001.00005</v>
      </c>
      <c r="C49" s="275" t="str">
        <f>DPA!C66</f>
        <v>Belanja Modal Alat Kantor Lainnya</v>
      </c>
      <c r="D49" s="275"/>
      <c r="E49" s="275"/>
      <c r="F49" s="281"/>
      <c r="G49" s="272"/>
      <c r="H49" s="282"/>
      <c r="I49" s="282"/>
      <c r="J49" s="282"/>
      <c r="K49" s="276">
        <f>DPA!S66</f>
        <v>34347600</v>
      </c>
      <c r="L49" s="281"/>
      <c r="M49" s="277">
        <f t="shared" si="6"/>
        <v>34347600</v>
      </c>
      <c r="N49" s="283"/>
      <c r="O49" s="283"/>
      <c r="P49" s="283"/>
      <c r="Q49" s="283"/>
      <c r="R49" s="281"/>
      <c r="S49" s="283"/>
      <c r="T49" s="277"/>
      <c r="U49" s="260"/>
      <c r="V49" s="8"/>
      <c r="W49" s="8"/>
      <c r="X49" s="8"/>
      <c r="Y49" s="8"/>
      <c r="Z49" s="8"/>
    </row>
    <row r="50" ht="15.75" customHeight="1">
      <c r="A50" s="260"/>
      <c r="B50" s="275" t="str">
        <f>DPA!B67</f>
        <v/>
      </c>
      <c r="C50" s="275" t="str">
        <f>DPA!C67</f>
        <v/>
      </c>
      <c r="D50" s="275"/>
      <c r="E50" s="275"/>
      <c r="F50" s="281"/>
      <c r="G50" s="272"/>
      <c r="H50" s="282"/>
      <c r="I50" s="282"/>
      <c r="J50" s="282"/>
      <c r="K50" s="276">
        <f>DPA!S67</f>
        <v>34347600</v>
      </c>
      <c r="L50" s="281"/>
      <c r="M50" s="277">
        <f t="shared" si="6"/>
        <v>34347600</v>
      </c>
      <c r="N50" s="283"/>
      <c r="O50" s="283"/>
      <c r="P50" s="283"/>
      <c r="Q50" s="283"/>
      <c r="R50" s="281"/>
      <c r="S50" s="283"/>
      <c r="T50" s="277"/>
      <c r="U50" s="260"/>
      <c r="V50" s="8"/>
      <c r="W50" s="8"/>
      <c r="X50" s="8"/>
      <c r="Y50" s="8"/>
      <c r="Z50" s="8"/>
    </row>
    <row r="51" ht="15.75" customHeight="1">
      <c r="A51" s="260"/>
      <c r="B51" s="275" t="str">
        <f>DPA!B68</f>
        <v/>
      </c>
      <c r="C51" s="275" t="str">
        <f>DPA!C68</f>
        <v/>
      </c>
      <c r="D51" s="275"/>
      <c r="E51" s="275"/>
      <c r="F51" s="281"/>
      <c r="G51" s="272"/>
      <c r="H51" s="282"/>
      <c r="I51" s="282"/>
      <c r="J51" s="282"/>
      <c r="K51" s="276" t="str">
        <f>DPA!S68</f>
        <v/>
      </c>
      <c r="L51" s="281"/>
      <c r="M51" s="277" t="str">
        <f t="shared" si="6"/>
        <v/>
      </c>
      <c r="N51" s="283"/>
      <c r="O51" s="283"/>
      <c r="P51" s="283"/>
      <c r="Q51" s="283"/>
      <c r="R51" s="281"/>
      <c r="S51" s="283"/>
      <c r="T51" s="277"/>
      <c r="U51" s="260"/>
      <c r="V51" s="8"/>
      <c r="W51" s="8"/>
      <c r="X51" s="8"/>
      <c r="Y51" s="8"/>
      <c r="Z51" s="8"/>
    </row>
    <row r="52" ht="15.75" customHeight="1">
      <c r="A52" s="260"/>
      <c r="B52" s="275" t="str">
        <f>DPA!B69</f>
        <v>5.2.02.05.002</v>
      </c>
      <c r="C52" s="275" t="str">
        <f>DPA!C69</f>
        <v>Belanja Modal Alat Rumah Tangga</v>
      </c>
      <c r="D52" s="275"/>
      <c r="E52" s="275"/>
      <c r="F52" s="281"/>
      <c r="G52" s="272"/>
      <c r="H52" s="282"/>
      <c r="I52" s="282"/>
      <c r="J52" s="282"/>
      <c r="K52" s="276">
        <f>DPA!S69</f>
        <v>27024800</v>
      </c>
      <c r="L52" s="281"/>
      <c r="M52" s="277">
        <f t="shared" si="6"/>
        <v>27024800</v>
      </c>
      <c r="N52" s="283"/>
      <c r="O52" s="283"/>
      <c r="P52" s="283"/>
      <c r="Q52" s="283"/>
      <c r="R52" s="281"/>
      <c r="S52" s="283"/>
      <c r="T52" s="277"/>
      <c r="U52" s="260"/>
      <c r="V52" s="8"/>
      <c r="W52" s="8"/>
      <c r="X52" s="8"/>
      <c r="Y52" s="8"/>
      <c r="Z52" s="8"/>
    </row>
    <row r="53" ht="15.75" customHeight="1">
      <c r="A53" s="260"/>
      <c r="B53" s="275" t="str">
        <f>DPA!B70</f>
        <v>5.2.02.05.002.000
06</v>
      </c>
      <c r="C53" s="275" t="str">
        <f>DPA!C70</f>
        <v>Belanja Modal Alat Rumah Tangga Lainnya (Home Use)</v>
      </c>
      <c r="D53" s="275"/>
      <c r="E53" s="275"/>
      <c r="F53" s="281"/>
      <c r="G53" s="272"/>
      <c r="H53" s="282"/>
      <c r="I53" s="282"/>
      <c r="J53" s="282"/>
      <c r="K53" s="276">
        <f>DPA!S70</f>
        <v>27024800</v>
      </c>
      <c r="L53" s="281"/>
      <c r="M53" s="277">
        <f t="shared" si="6"/>
        <v>27024800</v>
      </c>
      <c r="N53" s="283"/>
      <c r="O53" s="283"/>
      <c r="P53" s="283"/>
      <c r="Q53" s="283"/>
      <c r="R53" s="281"/>
      <c r="S53" s="283"/>
      <c r="T53" s="277"/>
      <c r="U53" s="260"/>
      <c r="V53" s="8"/>
      <c r="W53" s="8"/>
      <c r="X53" s="8"/>
      <c r="Y53" s="8"/>
      <c r="Z53" s="8"/>
    </row>
    <row r="54" ht="15.75" customHeight="1">
      <c r="A54" s="260"/>
      <c r="B54" s="275"/>
      <c r="C54" s="275"/>
      <c r="D54" s="284" t="str">
        <f>DPA!D71</f>
        <v>-</v>
      </c>
      <c r="E54" s="285" t="str">
        <f>DPA!E71</f>
        <v>Televisi
Spesifikasi : Smart TV 70 Inch min. UHD 4K,
Garansi Min. 1 Tahun</v>
      </c>
      <c r="F54" s="281"/>
      <c r="G54" s="272"/>
      <c r="H54" s="282"/>
      <c r="I54" s="282"/>
      <c r="J54" s="282"/>
      <c r="K54" s="276">
        <f>DPA!S71</f>
        <v>27024800</v>
      </c>
      <c r="L54" s="277"/>
      <c r="M54" s="277">
        <f t="shared" si="6"/>
        <v>27024800</v>
      </c>
      <c r="N54" s="278"/>
      <c r="O54" s="278"/>
      <c r="P54" s="278"/>
      <c r="Q54" s="278"/>
      <c r="R54" s="277"/>
      <c r="S54" s="278"/>
      <c r="T54" s="277"/>
      <c r="U54" s="260"/>
      <c r="V54" s="8"/>
      <c r="W54" s="8"/>
      <c r="X54" s="8"/>
      <c r="Y54" s="8"/>
      <c r="Z54" s="8"/>
    </row>
    <row r="55" ht="15.75" customHeight="1">
      <c r="A55" s="260"/>
      <c r="B55" s="275"/>
      <c r="C55" s="275"/>
      <c r="D55" s="275"/>
      <c r="E55" s="275"/>
      <c r="F55" s="281"/>
      <c r="G55" s="272"/>
      <c r="H55" s="282"/>
      <c r="I55" s="282"/>
      <c r="J55" s="282"/>
      <c r="K55" s="276"/>
      <c r="L55" s="281"/>
      <c r="M55" s="277"/>
      <c r="N55" s="283"/>
      <c r="O55" s="283"/>
      <c r="P55" s="283"/>
      <c r="Q55" s="283"/>
      <c r="R55" s="281"/>
      <c r="S55" s="283"/>
      <c r="T55" s="277"/>
      <c r="U55" s="260"/>
      <c r="V55" s="8"/>
      <c r="W55" s="8"/>
      <c r="X55" s="8"/>
      <c r="Y55" s="8"/>
      <c r="Z55" s="8"/>
    </row>
    <row r="56" ht="15.75" customHeight="1">
      <c r="A56" s="260"/>
      <c r="B56" s="260"/>
      <c r="C56" s="260"/>
      <c r="D56" s="260"/>
      <c r="E56" s="8"/>
      <c r="F56" s="260"/>
      <c r="G56" s="260"/>
      <c r="H56" s="260"/>
      <c r="I56" s="260"/>
      <c r="J56" s="260"/>
      <c r="K56" s="270"/>
      <c r="L56" s="270"/>
      <c r="M56" s="270"/>
      <c r="N56" s="270"/>
      <c r="O56" s="260"/>
      <c r="P56" s="270"/>
      <c r="Q56" s="270"/>
      <c r="R56" s="270"/>
      <c r="S56" s="270"/>
      <c r="T56" s="270"/>
      <c r="U56" s="260"/>
      <c r="V56" s="8"/>
      <c r="W56" s="8"/>
      <c r="X56" s="8"/>
      <c r="Y56" s="8"/>
      <c r="Z56" s="8"/>
    </row>
    <row r="57" ht="15.75" customHeight="1">
      <c r="A57" s="260"/>
      <c r="B57" s="260"/>
      <c r="C57" s="260"/>
      <c r="D57" s="260"/>
      <c r="E57" s="8"/>
      <c r="F57" s="260"/>
      <c r="G57" s="260"/>
      <c r="H57" s="260"/>
      <c r="I57" s="260"/>
      <c r="J57" s="260"/>
      <c r="K57" s="270"/>
      <c r="L57" s="270"/>
      <c r="M57" s="270"/>
      <c r="N57" s="270"/>
      <c r="O57" s="260" t="s">
        <v>114</v>
      </c>
      <c r="P57" s="270"/>
      <c r="Q57" s="270"/>
      <c r="R57" s="270"/>
      <c r="S57" s="270"/>
      <c r="T57" s="270"/>
      <c r="U57" s="260"/>
      <c r="V57" s="8"/>
      <c r="W57" s="8"/>
      <c r="X57" s="8"/>
      <c r="Y57" s="8"/>
      <c r="Z57" s="8"/>
    </row>
    <row r="58" ht="15.75" customHeight="1">
      <c r="A58" s="260"/>
      <c r="B58" s="260"/>
      <c r="C58" s="260"/>
      <c r="D58" s="260"/>
      <c r="E58" s="8"/>
      <c r="F58" s="260"/>
      <c r="G58" s="260"/>
      <c r="H58" s="260"/>
      <c r="I58" s="260"/>
      <c r="J58" s="260"/>
      <c r="K58" s="270"/>
      <c r="L58" s="270"/>
      <c r="M58" s="270"/>
      <c r="N58" s="270"/>
      <c r="O58" s="260"/>
      <c r="P58" s="270"/>
      <c r="Q58" s="270"/>
      <c r="R58" s="270"/>
      <c r="S58" s="270"/>
      <c r="T58" s="270"/>
      <c r="U58" s="260"/>
      <c r="V58" s="8"/>
      <c r="W58" s="8"/>
      <c r="X58" s="8"/>
      <c r="Y58" s="8"/>
      <c r="Z58" s="8"/>
    </row>
    <row r="59" ht="15.75" customHeight="1">
      <c r="A59" s="260"/>
      <c r="B59" s="260"/>
      <c r="C59" s="260"/>
      <c r="D59" s="260"/>
      <c r="E59" s="260" t="s">
        <v>168</v>
      </c>
      <c r="F59" s="260"/>
      <c r="G59" s="260"/>
      <c r="H59" s="260"/>
      <c r="I59" s="260"/>
      <c r="J59" s="260"/>
      <c r="K59" s="270"/>
      <c r="L59" s="270"/>
      <c r="M59" s="270"/>
      <c r="N59" s="270"/>
      <c r="O59" s="260" t="s">
        <v>217</v>
      </c>
      <c r="P59" s="270"/>
      <c r="Q59" s="270"/>
      <c r="R59" s="270"/>
      <c r="S59" s="270"/>
      <c r="T59" s="270"/>
      <c r="U59" s="260"/>
      <c r="V59" s="8"/>
      <c r="W59" s="8"/>
      <c r="X59" s="8"/>
      <c r="Y59" s="8"/>
      <c r="Z59" s="8"/>
    </row>
    <row r="60" ht="15.75" customHeight="1">
      <c r="A60" s="260"/>
      <c r="B60" s="260"/>
      <c r="C60" s="260"/>
      <c r="D60" s="260"/>
      <c r="E60" s="256" t="s">
        <v>170</v>
      </c>
      <c r="F60" s="260"/>
      <c r="G60" s="260"/>
      <c r="H60" s="260"/>
      <c r="I60" s="260"/>
      <c r="J60" s="260"/>
      <c r="K60" s="270"/>
      <c r="L60" s="270"/>
      <c r="M60" s="270"/>
      <c r="N60" s="270"/>
      <c r="O60" s="260" t="str">
        <f>DPA!N9</f>
        <v/>
      </c>
      <c r="P60" s="270"/>
      <c r="Q60" s="270"/>
      <c r="R60" s="270"/>
      <c r="S60" s="270"/>
      <c r="T60" s="270"/>
      <c r="U60" s="260"/>
      <c r="V60" s="8"/>
      <c r="W60" s="8"/>
      <c r="X60" s="8"/>
      <c r="Y60" s="8"/>
      <c r="Z60" s="8"/>
    </row>
    <row r="61" ht="15.75" customHeight="1">
      <c r="A61" s="260"/>
      <c r="B61" s="260"/>
      <c r="C61" s="260"/>
      <c r="D61" s="260"/>
      <c r="E61" s="256" t="s">
        <v>171</v>
      </c>
      <c r="F61" s="260"/>
      <c r="G61" s="260"/>
      <c r="H61" s="260"/>
      <c r="I61" s="260"/>
      <c r="J61" s="260"/>
      <c r="K61" s="270"/>
      <c r="L61" s="270"/>
      <c r="M61" s="270"/>
      <c r="N61" s="270"/>
      <c r="O61" s="260"/>
      <c r="P61" s="270"/>
      <c r="Q61" s="270"/>
      <c r="R61" s="270"/>
      <c r="S61" s="270"/>
      <c r="T61" s="270"/>
      <c r="U61" s="260"/>
      <c r="V61" s="8"/>
      <c r="W61" s="8"/>
      <c r="X61" s="8"/>
      <c r="Y61" s="8"/>
      <c r="Z61" s="8"/>
    </row>
    <row r="62" ht="15.75" customHeight="1">
      <c r="A62" s="260"/>
      <c r="B62" s="260"/>
      <c r="C62" s="260"/>
      <c r="D62" s="260"/>
      <c r="E62" s="8"/>
      <c r="F62" s="260"/>
      <c r="G62" s="260"/>
      <c r="H62" s="260"/>
      <c r="I62" s="260"/>
      <c r="J62" s="260"/>
      <c r="K62" s="270"/>
      <c r="L62" s="270"/>
      <c r="M62" s="270"/>
      <c r="N62" s="270"/>
      <c r="O62" s="260"/>
      <c r="P62" s="270"/>
      <c r="Q62" s="270"/>
      <c r="R62" s="270"/>
      <c r="S62" s="270"/>
      <c r="T62" s="270"/>
      <c r="U62" s="260"/>
      <c r="V62" s="8"/>
      <c r="W62" s="8"/>
      <c r="X62" s="8"/>
      <c r="Y62" s="8"/>
      <c r="Z62" s="8"/>
    </row>
    <row r="63" ht="15.75" customHeight="1">
      <c r="A63" s="260"/>
      <c r="B63" s="260"/>
      <c r="C63" s="260"/>
      <c r="D63" s="260"/>
      <c r="E63" s="8"/>
      <c r="F63" s="260"/>
      <c r="G63" s="260"/>
      <c r="H63" s="260"/>
      <c r="I63" s="260"/>
      <c r="J63" s="260"/>
      <c r="K63" s="270"/>
      <c r="L63" s="270"/>
      <c r="M63" s="270"/>
      <c r="N63" s="270"/>
      <c r="O63" s="260"/>
      <c r="P63" s="270"/>
      <c r="Q63" s="270"/>
      <c r="R63" s="270"/>
      <c r="S63" s="270"/>
      <c r="T63" s="270"/>
      <c r="U63" s="260"/>
      <c r="V63" s="8"/>
      <c r="W63" s="8"/>
      <c r="X63" s="8"/>
      <c r="Y63" s="8"/>
      <c r="Z63" s="8"/>
    </row>
    <row r="64" ht="15.75" customHeight="1">
      <c r="A64" s="260"/>
      <c r="B64" s="260"/>
      <c r="C64" s="260"/>
      <c r="D64" s="260"/>
      <c r="E64" s="8"/>
      <c r="F64" s="260"/>
      <c r="G64" s="260"/>
      <c r="H64" s="260"/>
      <c r="I64" s="260"/>
      <c r="J64" s="260"/>
      <c r="K64" s="270"/>
      <c r="L64" s="270"/>
      <c r="M64" s="270"/>
      <c r="N64" s="270"/>
      <c r="O64" s="260"/>
      <c r="P64" s="270"/>
      <c r="Q64" s="270"/>
      <c r="R64" s="270"/>
      <c r="S64" s="270"/>
      <c r="T64" s="270"/>
      <c r="U64" s="260"/>
      <c r="V64" s="8"/>
      <c r="W64" s="8"/>
      <c r="X64" s="8"/>
      <c r="Y64" s="8"/>
      <c r="Z64" s="8"/>
    </row>
    <row r="65" ht="15.75" customHeight="1">
      <c r="A65" s="260"/>
      <c r="B65" s="260"/>
      <c r="C65" s="260"/>
      <c r="D65" s="260"/>
      <c r="E65" s="258" t="s">
        <v>123</v>
      </c>
      <c r="F65" s="260"/>
      <c r="G65" s="260"/>
      <c r="H65" s="260"/>
      <c r="I65" s="260"/>
      <c r="J65" s="260"/>
      <c r="K65" s="270"/>
      <c r="L65" s="270"/>
      <c r="M65" s="270"/>
      <c r="N65" s="270"/>
      <c r="O65" s="286"/>
      <c r="P65" s="270"/>
      <c r="Q65" s="270"/>
      <c r="R65" s="270"/>
      <c r="S65" s="270"/>
      <c r="T65" s="270"/>
      <c r="U65" s="260"/>
      <c r="V65" s="8"/>
      <c r="W65" s="8"/>
      <c r="X65" s="8"/>
      <c r="Y65" s="8"/>
      <c r="Z65" s="8"/>
    </row>
    <row r="66" ht="15.75" customHeight="1">
      <c r="A66" s="260"/>
      <c r="B66" s="260"/>
      <c r="C66" s="260"/>
      <c r="D66" s="260"/>
      <c r="E66" s="256" t="s">
        <v>218</v>
      </c>
      <c r="F66" s="8"/>
      <c r="G66" s="260"/>
      <c r="H66" s="260"/>
      <c r="I66" s="260"/>
      <c r="J66" s="260"/>
      <c r="K66" s="270"/>
      <c r="L66" s="270"/>
      <c r="M66" s="270"/>
      <c r="N66" s="270"/>
      <c r="O66" s="260"/>
      <c r="P66" s="270"/>
      <c r="Q66" s="270"/>
      <c r="R66" s="270"/>
      <c r="S66" s="270"/>
      <c r="T66" s="270"/>
      <c r="U66" s="260"/>
      <c r="V66" s="8"/>
      <c r="W66" s="8"/>
      <c r="X66" s="8"/>
      <c r="Y66" s="8"/>
      <c r="Z66" s="8"/>
    </row>
    <row r="67" ht="15.75" customHeight="1">
      <c r="A67" s="260"/>
      <c r="B67" s="260"/>
      <c r="C67" s="260"/>
      <c r="D67" s="260"/>
      <c r="E67" s="256" t="s">
        <v>125</v>
      </c>
      <c r="F67" s="260"/>
      <c r="G67" s="260"/>
      <c r="H67" s="260"/>
      <c r="I67" s="260"/>
      <c r="J67" s="260"/>
      <c r="K67" s="270"/>
      <c r="L67" s="270"/>
      <c r="M67" s="270"/>
      <c r="N67" s="270"/>
      <c r="O67" s="260"/>
      <c r="P67" s="270"/>
      <c r="Q67" s="270"/>
      <c r="R67" s="270"/>
      <c r="S67" s="270"/>
      <c r="T67" s="270"/>
      <c r="U67" s="260"/>
      <c r="V67" s="8"/>
      <c r="W67" s="8"/>
      <c r="X67" s="8"/>
      <c r="Y67" s="8"/>
      <c r="Z67" s="8"/>
    </row>
    <row r="68" ht="15.75" customHeight="1">
      <c r="A68" s="260"/>
      <c r="B68" s="260"/>
      <c r="C68" s="260"/>
      <c r="D68" s="260"/>
      <c r="E68" s="260"/>
      <c r="F68" s="260"/>
      <c r="G68" s="260"/>
      <c r="H68" s="260"/>
      <c r="I68" s="260"/>
      <c r="J68" s="26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60"/>
      <c r="V68" s="8"/>
      <c r="W68" s="8"/>
      <c r="X68" s="8"/>
      <c r="Y68" s="8"/>
      <c r="Z68" s="8"/>
    </row>
    <row r="69" ht="15.75" customHeight="1">
      <c r="A69" s="260"/>
      <c r="B69" s="260"/>
      <c r="C69" s="260"/>
      <c r="D69" s="260"/>
      <c r="E69" s="260"/>
      <c r="F69" s="260"/>
      <c r="G69" s="260"/>
      <c r="H69" s="260"/>
      <c r="I69" s="260"/>
      <c r="J69" s="26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60"/>
      <c r="V69" s="8"/>
      <c r="W69" s="8"/>
      <c r="X69" s="8"/>
      <c r="Y69" s="8"/>
      <c r="Z69" s="8"/>
    </row>
    <row r="70" ht="15.7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8"/>
      <c r="W70" s="8"/>
      <c r="X70" s="8"/>
      <c r="Y70" s="8"/>
      <c r="Z70" s="8"/>
    </row>
    <row r="71" ht="15.7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8"/>
      <c r="W71" s="8"/>
      <c r="X71" s="8"/>
      <c r="Y71" s="8"/>
      <c r="Z71" s="8"/>
    </row>
    <row r="72" ht="15.7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8"/>
      <c r="W72" s="8"/>
      <c r="X72" s="8"/>
      <c r="Y72" s="8"/>
      <c r="Z72" s="8"/>
    </row>
    <row r="73" ht="15.7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8"/>
      <c r="W73" s="8"/>
      <c r="X73" s="8"/>
      <c r="Y73" s="8"/>
      <c r="Z73" s="8"/>
    </row>
    <row r="74" ht="15.7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8"/>
      <c r="W74" s="8"/>
      <c r="X74" s="8"/>
      <c r="Y74" s="8"/>
      <c r="Z74" s="8"/>
    </row>
    <row r="75" ht="15.7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8"/>
      <c r="W75" s="8"/>
      <c r="X75" s="8"/>
      <c r="Y75" s="8"/>
      <c r="Z75" s="8"/>
    </row>
    <row r="76" ht="15.7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70"/>
      <c r="N76" s="260"/>
      <c r="O76" s="260"/>
      <c r="P76" s="260"/>
      <c r="Q76" s="260"/>
      <c r="R76" s="260"/>
      <c r="S76" s="260"/>
      <c r="T76" s="260"/>
      <c r="U76" s="260"/>
      <c r="V76" s="8"/>
      <c r="W76" s="8"/>
      <c r="X76" s="8"/>
      <c r="Y76" s="8"/>
      <c r="Z76" s="8"/>
    </row>
    <row r="77" ht="15.7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8"/>
      <c r="W77" s="8"/>
      <c r="X77" s="8"/>
      <c r="Y77" s="8"/>
      <c r="Z77" s="8"/>
    </row>
    <row r="78" ht="15.7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8"/>
      <c r="W78" s="8"/>
      <c r="X78" s="8"/>
      <c r="Y78" s="8"/>
      <c r="Z78" s="8"/>
    </row>
    <row r="79" ht="15.7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8"/>
      <c r="W79" s="8"/>
      <c r="X79" s="8"/>
      <c r="Y79" s="8"/>
      <c r="Z79" s="8"/>
    </row>
    <row r="80" ht="15.7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8"/>
      <c r="W80" s="8"/>
      <c r="X80" s="8"/>
      <c r="Y80" s="8"/>
      <c r="Z80" s="8"/>
    </row>
    <row r="81" ht="15.7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70"/>
      <c r="M81" s="260"/>
      <c r="N81" s="260"/>
      <c r="O81" s="260"/>
      <c r="P81" s="260"/>
      <c r="Q81" s="260"/>
      <c r="R81" s="260"/>
      <c r="S81" s="260"/>
      <c r="T81" s="260"/>
      <c r="U81" s="260"/>
      <c r="V81" s="8"/>
      <c r="W81" s="8"/>
      <c r="X81" s="8"/>
      <c r="Y81" s="8"/>
      <c r="Z81" s="8"/>
    </row>
    <row r="82" ht="15.7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70"/>
      <c r="O82" s="260"/>
      <c r="P82" s="260"/>
      <c r="Q82" s="260"/>
      <c r="R82" s="260"/>
      <c r="S82" s="260"/>
      <c r="T82" s="260"/>
      <c r="U82" s="260"/>
      <c r="V82" s="8"/>
      <c r="W82" s="8"/>
      <c r="X82" s="8"/>
      <c r="Y82" s="8"/>
      <c r="Z82" s="8"/>
    </row>
    <row r="83" ht="15.7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8"/>
      <c r="W83" s="8"/>
      <c r="X83" s="8"/>
      <c r="Y83" s="8"/>
      <c r="Z83" s="8"/>
    </row>
    <row r="84" ht="15.7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8"/>
      <c r="W84" s="8"/>
      <c r="X84" s="8"/>
      <c r="Y84" s="8"/>
      <c r="Z84" s="8"/>
    </row>
    <row r="85" ht="15.7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8"/>
      <c r="W85" s="8"/>
      <c r="X85" s="8"/>
      <c r="Y85" s="8"/>
      <c r="Z85" s="8"/>
    </row>
    <row r="86" ht="15.7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8"/>
      <c r="W86" s="8"/>
      <c r="X86" s="8"/>
      <c r="Y86" s="8"/>
      <c r="Z86" s="8"/>
    </row>
    <row r="87" ht="15.7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8"/>
      <c r="W87" s="8"/>
      <c r="X87" s="8"/>
      <c r="Y87" s="8"/>
      <c r="Z87" s="8"/>
    </row>
    <row r="88" ht="15.7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8"/>
      <c r="W88" s="8"/>
      <c r="X88" s="8"/>
      <c r="Y88" s="8"/>
      <c r="Z88" s="8"/>
    </row>
    <row r="89" ht="15.7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8"/>
      <c r="W89" s="8"/>
      <c r="X89" s="8"/>
      <c r="Y89" s="8"/>
      <c r="Z89" s="8"/>
    </row>
    <row r="90" ht="15.7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8"/>
      <c r="W90" s="8"/>
      <c r="X90" s="8"/>
      <c r="Y90" s="8"/>
      <c r="Z90" s="8"/>
    </row>
    <row r="91" ht="15.7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8"/>
      <c r="W91" s="8"/>
      <c r="X91" s="8"/>
      <c r="Y91" s="8"/>
      <c r="Z91" s="8"/>
    </row>
    <row r="92" ht="15.7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8"/>
      <c r="W92" s="8"/>
      <c r="X92" s="8"/>
      <c r="Y92" s="8"/>
      <c r="Z92" s="8"/>
    </row>
    <row r="93" ht="15.7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8"/>
      <c r="W93" s="8"/>
      <c r="X93" s="8"/>
      <c r="Y93" s="8"/>
      <c r="Z93" s="8"/>
    </row>
    <row r="94" ht="15.7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8"/>
      <c r="W94" s="8"/>
      <c r="X94" s="8"/>
      <c r="Y94" s="8"/>
      <c r="Z94" s="8"/>
    </row>
    <row r="95" ht="15.7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8"/>
      <c r="W95" s="8"/>
      <c r="X95" s="8"/>
      <c r="Y95" s="8"/>
      <c r="Z95" s="8"/>
    </row>
    <row r="96" ht="15.7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8"/>
      <c r="W96" s="8"/>
      <c r="X96" s="8"/>
      <c r="Y96" s="8"/>
      <c r="Z96" s="8"/>
    </row>
    <row r="97" ht="15.7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8"/>
      <c r="W97" s="8"/>
      <c r="X97" s="8"/>
      <c r="Y97" s="8"/>
      <c r="Z97" s="8"/>
    </row>
    <row r="98" ht="15.7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8"/>
      <c r="W98" s="8"/>
      <c r="X98" s="8"/>
      <c r="Y98" s="8"/>
      <c r="Z98" s="8"/>
    </row>
    <row r="99" ht="15.7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8"/>
      <c r="W99" s="8"/>
      <c r="X99" s="8"/>
      <c r="Y99" s="8"/>
      <c r="Z99" s="8"/>
    </row>
    <row r="100" ht="15.7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8"/>
      <c r="W100" s="8"/>
      <c r="X100" s="8"/>
      <c r="Y100" s="8"/>
      <c r="Z100" s="8"/>
    </row>
    <row r="101" ht="15.7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8"/>
      <c r="W101" s="8"/>
      <c r="X101" s="8"/>
      <c r="Y101" s="8"/>
      <c r="Z101" s="8"/>
    </row>
    <row r="102" ht="15.7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8"/>
      <c r="W102" s="8"/>
      <c r="X102" s="8"/>
      <c r="Y102" s="8"/>
      <c r="Z102" s="8"/>
    </row>
    <row r="103" ht="15.7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8"/>
      <c r="W103" s="8"/>
      <c r="X103" s="8"/>
      <c r="Y103" s="8"/>
      <c r="Z103" s="8"/>
    </row>
    <row r="104" ht="15.7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8"/>
      <c r="W104" s="8"/>
      <c r="X104" s="8"/>
      <c r="Y104" s="8"/>
      <c r="Z104" s="8"/>
    </row>
    <row r="105" ht="15.7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8"/>
      <c r="W105" s="8"/>
      <c r="X105" s="8"/>
      <c r="Y105" s="8"/>
      <c r="Z105" s="8"/>
    </row>
    <row r="106" ht="15.7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8"/>
      <c r="W106" s="8"/>
      <c r="X106" s="8"/>
      <c r="Y106" s="8"/>
      <c r="Z106" s="8"/>
    </row>
    <row r="107" ht="15.7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8"/>
      <c r="W107" s="8"/>
      <c r="X107" s="8"/>
      <c r="Y107" s="8"/>
      <c r="Z107" s="8"/>
    </row>
    <row r="108" ht="15.7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8"/>
      <c r="W108" s="8"/>
      <c r="X108" s="8"/>
      <c r="Y108" s="8"/>
      <c r="Z108" s="8"/>
    </row>
    <row r="109" ht="15.7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8"/>
      <c r="W109" s="8"/>
      <c r="X109" s="8"/>
      <c r="Y109" s="8"/>
      <c r="Z109" s="8"/>
    </row>
    <row r="110" ht="15.7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8"/>
      <c r="W110" s="8"/>
      <c r="X110" s="8"/>
      <c r="Y110" s="8"/>
      <c r="Z110" s="8"/>
    </row>
    <row r="111" ht="15.7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8"/>
      <c r="W111" s="8"/>
      <c r="X111" s="8"/>
      <c r="Y111" s="8"/>
      <c r="Z111" s="8"/>
    </row>
    <row r="112" ht="15.7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8"/>
      <c r="W112" s="8"/>
      <c r="X112" s="8"/>
      <c r="Y112" s="8"/>
      <c r="Z112" s="8"/>
    </row>
    <row r="113" ht="15.7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8"/>
      <c r="W113" s="8"/>
      <c r="X113" s="8"/>
      <c r="Y113" s="8"/>
      <c r="Z113" s="8"/>
    </row>
    <row r="114" ht="15.7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8"/>
      <c r="W114" s="8"/>
      <c r="X114" s="8"/>
      <c r="Y114" s="8"/>
      <c r="Z114" s="8"/>
    </row>
    <row r="115" ht="15.7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8"/>
      <c r="W115" s="8"/>
      <c r="X115" s="8"/>
      <c r="Y115" s="8"/>
      <c r="Z115" s="8"/>
    </row>
    <row r="116" ht="15.7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8"/>
      <c r="W116" s="8"/>
      <c r="X116" s="8"/>
      <c r="Y116" s="8"/>
      <c r="Z116" s="8"/>
    </row>
    <row r="117" ht="15.7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8"/>
      <c r="W117" s="8"/>
      <c r="X117" s="8"/>
      <c r="Y117" s="8"/>
      <c r="Z117" s="8"/>
    </row>
    <row r="118" ht="15.7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8"/>
      <c r="W118" s="8"/>
      <c r="X118" s="8"/>
      <c r="Y118" s="8"/>
      <c r="Z118" s="8"/>
    </row>
    <row r="119" ht="15.7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8"/>
      <c r="W119" s="8"/>
      <c r="X119" s="8"/>
      <c r="Y119" s="8"/>
      <c r="Z119" s="8"/>
    </row>
    <row r="120" ht="15.7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8"/>
      <c r="W120" s="8"/>
      <c r="X120" s="8"/>
      <c r="Y120" s="8"/>
      <c r="Z120" s="8"/>
    </row>
    <row r="121" ht="15.7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8"/>
      <c r="W121" s="8"/>
      <c r="X121" s="8"/>
      <c r="Y121" s="8"/>
      <c r="Z121" s="8"/>
    </row>
    <row r="122" ht="15.7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8"/>
      <c r="W122" s="8"/>
      <c r="X122" s="8"/>
      <c r="Y122" s="8"/>
      <c r="Z122" s="8"/>
    </row>
    <row r="123" ht="15.7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8"/>
      <c r="W123" s="8"/>
      <c r="X123" s="8"/>
      <c r="Y123" s="8"/>
      <c r="Z123" s="8"/>
    </row>
    <row r="124" ht="15.7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8"/>
      <c r="W124" s="8"/>
      <c r="X124" s="8"/>
      <c r="Y124" s="8"/>
      <c r="Z124" s="8"/>
    </row>
    <row r="125" ht="15.7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8"/>
      <c r="W125" s="8"/>
      <c r="X125" s="8"/>
      <c r="Y125" s="8"/>
      <c r="Z125" s="8"/>
    </row>
    <row r="126" ht="15.7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8"/>
      <c r="W126" s="8"/>
      <c r="X126" s="8"/>
      <c r="Y126" s="8"/>
      <c r="Z126" s="8"/>
    </row>
    <row r="127" ht="15.7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8"/>
      <c r="W127" s="8"/>
      <c r="X127" s="8"/>
      <c r="Y127" s="8"/>
      <c r="Z127" s="8"/>
    </row>
    <row r="128" ht="15.7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8"/>
      <c r="W128" s="8"/>
      <c r="X128" s="8"/>
      <c r="Y128" s="8"/>
      <c r="Z128" s="8"/>
    </row>
    <row r="129" ht="15.7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8"/>
      <c r="W129" s="8"/>
      <c r="X129" s="8"/>
      <c r="Y129" s="8"/>
      <c r="Z129" s="8"/>
    </row>
    <row r="130" ht="15.7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8"/>
      <c r="W130" s="8"/>
      <c r="X130" s="8"/>
      <c r="Y130" s="8"/>
      <c r="Z130" s="8"/>
    </row>
    <row r="131" ht="15.7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8"/>
      <c r="W131" s="8"/>
      <c r="X131" s="8"/>
      <c r="Y131" s="8"/>
      <c r="Z131" s="8"/>
    </row>
    <row r="132" ht="15.7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8"/>
      <c r="W132" s="8"/>
      <c r="X132" s="8"/>
      <c r="Y132" s="8"/>
      <c r="Z132" s="8"/>
    </row>
    <row r="133" ht="15.7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8"/>
      <c r="W133" s="8"/>
      <c r="X133" s="8"/>
      <c r="Y133" s="8"/>
      <c r="Z133" s="8"/>
    </row>
    <row r="134" ht="15.7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8"/>
      <c r="W134" s="8"/>
      <c r="X134" s="8"/>
      <c r="Y134" s="8"/>
      <c r="Z134" s="8"/>
    </row>
    <row r="135" ht="15.7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8"/>
      <c r="W135" s="8"/>
      <c r="X135" s="8"/>
      <c r="Y135" s="8"/>
      <c r="Z135" s="8"/>
    </row>
    <row r="136" ht="15.7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8"/>
      <c r="W136" s="8"/>
      <c r="X136" s="8"/>
      <c r="Y136" s="8"/>
      <c r="Z136" s="8"/>
    </row>
    <row r="137" ht="15.7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8"/>
      <c r="W137" s="8"/>
      <c r="X137" s="8"/>
      <c r="Y137" s="8"/>
      <c r="Z137" s="8"/>
    </row>
    <row r="138" ht="15.7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8"/>
      <c r="W138" s="8"/>
      <c r="X138" s="8"/>
      <c r="Y138" s="8"/>
      <c r="Z138" s="8"/>
    </row>
    <row r="139" ht="15.7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8"/>
      <c r="W139" s="8"/>
      <c r="X139" s="8"/>
      <c r="Y139" s="8"/>
      <c r="Z139" s="8"/>
    </row>
    <row r="140" ht="15.7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8"/>
      <c r="W140" s="8"/>
      <c r="X140" s="8"/>
      <c r="Y140" s="8"/>
      <c r="Z140" s="8"/>
    </row>
    <row r="141" ht="15.7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8"/>
      <c r="W141" s="8"/>
      <c r="X141" s="8"/>
      <c r="Y141" s="8"/>
      <c r="Z141" s="8"/>
    </row>
    <row r="142" ht="15.7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8"/>
      <c r="W142" s="8"/>
      <c r="X142" s="8"/>
      <c r="Y142" s="8"/>
      <c r="Z142" s="8"/>
    </row>
    <row r="143" ht="15.7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8"/>
      <c r="W143" s="8"/>
      <c r="X143" s="8"/>
      <c r="Y143" s="8"/>
      <c r="Z143" s="8"/>
    </row>
    <row r="144" ht="15.7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8"/>
      <c r="W144" s="8"/>
      <c r="X144" s="8"/>
      <c r="Y144" s="8"/>
      <c r="Z144" s="8"/>
    </row>
    <row r="145" ht="15.7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8"/>
      <c r="W145" s="8"/>
      <c r="X145" s="8"/>
      <c r="Y145" s="8"/>
      <c r="Z145" s="8"/>
    </row>
    <row r="146" ht="15.7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8"/>
      <c r="W146" s="8"/>
      <c r="X146" s="8"/>
      <c r="Y146" s="8"/>
      <c r="Z146" s="8"/>
    </row>
    <row r="147" ht="15.7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8"/>
      <c r="W147" s="8"/>
      <c r="X147" s="8"/>
      <c r="Y147" s="8"/>
      <c r="Z147" s="8"/>
    </row>
    <row r="148" ht="15.7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8"/>
      <c r="W148" s="8"/>
      <c r="X148" s="8"/>
      <c r="Y148" s="8"/>
      <c r="Z148" s="8"/>
    </row>
    <row r="149" ht="15.7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8"/>
      <c r="W149" s="8"/>
      <c r="X149" s="8"/>
      <c r="Y149" s="8"/>
      <c r="Z149" s="8"/>
    </row>
    <row r="150" ht="15.7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8"/>
      <c r="W150" s="8"/>
      <c r="X150" s="8"/>
      <c r="Y150" s="8"/>
      <c r="Z150" s="8"/>
    </row>
    <row r="151" ht="15.7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8"/>
      <c r="W151" s="8"/>
      <c r="X151" s="8"/>
      <c r="Y151" s="8"/>
      <c r="Z151" s="8"/>
    </row>
    <row r="152" ht="15.7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8"/>
      <c r="W152" s="8"/>
      <c r="X152" s="8"/>
      <c r="Y152" s="8"/>
      <c r="Z152" s="8"/>
    </row>
    <row r="153" ht="15.7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8"/>
      <c r="W153" s="8"/>
      <c r="X153" s="8"/>
      <c r="Y153" s="8"/>
      <c r="Z153" s="8"/>
    </row>
    <row r="154" ht="15.7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8"/>
      <c r="W154" s="8"/>
      <c r="X154" s="8"/>
      <c r="Y154" s="8"/>
      <c r="Z154" s="8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8"/>
      <c r="W155" s="8"/>
      <c r="X155" s="8"/>
      <c r="Y155" s="8"/>
      <c r="Z155" s="8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8"/>
      <c r="W156" s="8"/>
      <c r="X156" s="8"/>
      <c r="Y156" s="8"/>
      <c r="Z156" s="8"/>
    </row>
    <row r="157" ht="15.7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8"/>
      <c r="W157" s="8"/>
      <c r="X157" s="8"/>
      <c r="Y157" s="8"/>
      <c r="Z157" s="8"/>
    </row>
    <row r="158" ht="15.7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8"/>
      <c r="W158" s="8"/>
      <c r="X158" s="8"/>
      <c r="Y158" s="8"/>
      <c r="Z158" s="8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8"/>
      <c r="W159" s="8"/>
      <c r="X159" s="8"/>
      <c r="Y159" s="8"/>
      <c r="Z159" s="8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8"/>
      <c r="W160" s="8"/>
      <c r="X160" s="8"/>
      <c r="Y160" s="8"/>
      <c r="Z160" s="8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8"/>
      <c r="W161" s="8"/>
      <c r="X161" s="8"/>
      <c r="Y161" s="8"/>
      <c r="Z161" s="8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8"/>
      <c r="W162" s="8"/>
      <c r="X162" s="8"/>
      <c r="Y162" s="8"/>
      <c r="Z162" s="8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8"/>
      <c r="W163" s="8"/>
      <c r="X163" s="8"/>
      <c r="Y163" s="8"/>
      <c r="Z163" s="8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8"/>
      <c r="W164" s="8"/>
      <c r="X164" s="8"/>
      <c r="Y164" s="8"/>
      <c r="Z164" s="8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8"/>
      <c r="W165" s="8"/>
      <c r="X165" s="8"/>
      <c r="Y165" s="8"/>
      <c r="Z165" s="8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8"/>
      <c r="W166" s="8"/>
      <c r="X166" s="8"/>
      <c r="Y166" s="8"/>
      <c r="Z166" s="8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8"/>
      <c r="W167" s="8"/>
      <c r="X167" s="8"/>
      <c r="Y167" s="8"/>
      <c r="Z167" s="8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8"/>
      <c r="W168" s="8"/>
      <c r="X168" s="8"/>
      <c r="Y168" s="8"/>
      <c r="Z168" s="8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8"/>
      <c r="W169" s="8"/>
      <c r="X169" s="8"/>
      <c r="Y169" s="8"/>
      <c r="Z169" s="8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8"/>
      <c r="W170" s="8"/>
      <c r="X170" s="8"/>
      <c r="Y170" s="8"/>
      <c r="Z170" s="8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8"/>
      <c r="W171" s="8"/>
      <c r="X171" s="8"/>
      <c r="Y171" s="8"/>
      <c r="Z171" s="8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8"/>
      <c r="W172" s="8"/>
      <c r="X172" s="8"/>
      <c r="Y172" s="8"/>
      <c r="Z172" s="8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8"/>
      <c r="W173" s="8"/>
      <c r="X173" s="8"/>
      <c r="Y173" s="8"/>
      <c r="Z173" s="8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8"/>
      <c r="W174" s="8"/>
      <c r="X174" s="8"/>
      <c r="Y174" s="8"/>
      <c r="Z174" s="8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8"/>
      <c r="W175" s="8"/>
      <c r="X175" s="8"/>
      <c r="Y175" s="8"/>
      <c r="Z175" s="8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8"/>
      <c r="W176" s="8"/>
      <c r="X176" s="8"/>
      <c r="Y176" s="8"/>
      <c r="Z176" s="8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8"/>
      <c r="W177" s="8"/>
      <c r="X177" s="8"/>
      <c r="Y177" s="8"/>
      <c r="Z177" s="8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8"/>
      <c r="W178" s="8"/>
      <c r="X178" s="8"/>
      <c r="Y178" s="8"/>
      <c r="Z178" s="8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8"/>
      <c r="W179" s="8"/>
      <c r="X179" s="8"/>
      <c r="Y179" s="8"/>
      <c r="Z179" s="8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8"/>
      <c r="W180" s="8"/>
      <c r="X180" s="8"/>
      <c r="Y180" s="8"/>
      <c r="Z180" s="8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8"/>
      <c r="W181" s="8"/>
      <c r="X181" s="8"/>
      <c r="Y181" s="8"/>
      <c r="Z181" s="8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8"/>
      <c r="W182" s="8"/>
      <c r="X182" s="8"/>
      <c r="Y182" s="8"/>
      <c r="Z182" s="8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8"/>
      <c r="W183" s="8"/>
      <c r="X183" s="8"/>
      <c r="Y183" s="8"/>
      <c r="Z183" s="8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8"/>
      <c r="W184" s="8"/>
      <c r="X184" s="8"/>
      <c r="Y184" s="8"/>
      <c r="Z184" s="8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8"/>
      <c r="W185" s="8"/>
      <c r="X185" s="8"/>
      <c r="Y185" s="8"/>
      <c r="Z185" s="8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8"/>
      <c r="W186" s="8"/>
      <c r="X186" s="8"/>
      <c r="Y186" s="8"/>
      <c r="Z186" s="8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8"/>
      <c r="W187" s="8"/>
      <c r="X187" s="8"/>
      <c r="Y187" s="8"/>
      <c r="Z187" s="8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8"/>
      <c r="W188" s="8"/>
      <c r="X188" s="8"/>
      <c r="Y188" s="8"/>
      <c r="Z188" s="8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8"/>
      <c r="W189" s="8"/>
      <c r="X189" s="8"/>
      <c r="Y189" s="8"/>
      <c r="Z189" s="8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8"/>
      <c r="W190" s="8"/>
      <c r="X190" s="8"/>
      <c r="Y190" s="8"/>
      <c r="Z190" s="8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8"/>
      <c r="W191" s="8"/>
      <c r="X191" s="8"/>
      <c r="Y191" s="8"/>
      <c r="Z191" s="8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8"/>
      <c r="W192" s="8"/>
      <c r="X192" s="8"/>
      <c r="Y192" s="8"/>
      <c r="Z192" s="8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8"/>
      <c r="W193" s="8"/>
      <c r="X193" s="8"/>
      <c r="Y193" s="8"/>
      <c r="Z193" s="8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8"/>
      <c r="W194" s="8"/>
      <c r="X194" s="8"/>
      <c r="Y194" s="8"/>
      <c r="Z194" s="8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8"/>
      <c r="W195" s="8"/>
      <c r="X195" s="8"/>
      <c r="Y195" s="8"/>
      <c r="Z195" s="8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8"/>
      <c r="W196" s="8"/>
      <c r="X196" s="8"/>
      <c r="Y196" s="8"/>
      <c r="Z196" s="8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8"/>
      <c r="W197" s="8"/>
      <c r="X197" s="8"/>
      <c r="Y197" s="8"/>
      <c r="Z197" s="8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8"/>
      <c r="W198" s="8"/>
      <c r="X198" s="8"/>
      <c r="Y198" s="8"/>
      <c r="Z198" s="8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8"/>
      <c r="W199" s="8"/>
      <c r="X199" s="8"/>
      <c r="Y199" s="8"/>
      <c r="Z199" s="8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8"/>
      <c r="W200" s="8"/>
      <c r="X200" s="8"/>
      <c r="Y200" s="8"/>
      <c r="Z200" s="8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8"/>
      <c r="W201" s="8"/>
      <c r="X201" s="8"/>
      <c r="Y201" s="8"/>
      <c r="Z201" s="8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8"/>
      <c r="W202" s="8"/>
      <c r="X202" s="8"/>
      <c r="Y202" s="8"/>
      <c r="Z202" s="8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8"/>
      <c r="W203" s="8"/>
      <c r="X203" s="8"/>
      <c r="Y203" s="8"/>
      <c r="Z203" s="8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8"/>
      <c r="W204" s="8"/>
      <c r="X204" s="8"/>
      <c r="Y204" s="8"/>
      <c r="Z204" s="8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8"/>
      <c r="W205" s="8"/>
      <c r="X205" s="8"/>
      <c r="Y205" s="8"/>
      <c r="Z205" s="8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8"/>
      <c r="W206" s="8"/>
      <c r="X206" s="8"/>
      <c r="Y206" s="8"/>
      <c r="Z206" s="8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8"/>
      <c r="W207" s="8"/>
      <c r="X207" s="8"/>
      <c r="Y207" s="8"/>
      <c r="Z207" s="8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8"/>
      <c r="W208" s="8"/>
      <c r="X208" s="8"/>
      <c r="Y208" s="8"/>
      <c r="Z208" s="8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8"/>
      <c r="W209" s="8"/>
      <c r="X209" s="8"/>
      <c r="Y209" s="8"/>
      <c r="Z209" s="8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8"/>
      <c r="W210" s="8"/>
      <c r="X210" s="8"/>
      <c r="Y210" s="8"/>
      <c r="Z210" s="8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8"/>
      <c r="W211" s="8"/>
      <c r="X211" s="8"/>
      <c r="Y211" s="8"/>
      <c r="Z211" s="8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8"/>
      <c r="W212" s="8"/>
      <c r="X212" s="8"/>
      <c r="Y212" s="8"/>
      <c r="Z212" s="8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8"/>
      <c r="W213" s="8"/>
      <c r="X213" s="8"/>
      <c r="Y213" s="8"/>
      <c r="Z213" s="8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8"/>
      <c r="W214" s="8"/>
      <c r="X214" s="8"/>
      <c r="Y214" s="8"/>
      <c r="Z214" s="8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8"/>
      <c r="W215" s="8"/>
      <c r="X215" s="8"/>
      <c r="Y215" s="8"/>
      <c r="Z215" s="8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8"/>
      <c r="W216" s="8"/>
      <c r="X216" s="8"/>
      <c r="Y216" s="8"/>
      <c r="Z216" s="8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8"/>
      <c r="W217" s="8"/>
      <c r="X217" s="8"/>
      <c r="Y217" s="8"/>
      <c r="Z217" s="8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8"/>
      <c r="W218" s="8"/>
      <c r="X218" s="8"/>
      <c r="Y218" s="8"/>
      <c r="Z218" s="8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8"/>
      <c r="W219" s="8"/>
      <c r="X219" s="8"/>
      <c r="Y219" s="8"/>
      <c r="Z219" s="8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8"/>
      <c r="W220" s="8"/>
      <c r="X220" s="8"/>
      <c r="Y220" s="8"/>
      <c r="Z220" s="8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8"/>
      <c r="W221" s="8"/>
      <c r="X221" s="8"/>
      <c r="Y221" s="8"/>
      <c r="Z221" s="8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8"/>
      <c r="W222" s="8"/>
      <c r="X222" s="8"/>
      <c r="Y222" s="8"/>
      <c r="Z222" s="8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8"/>
      <c r="W223" s="8"/>
      <c r="X223" s="8"/>
      <c r="Y223" s="8"/>
      <c r="Z223" s="8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8"/>
      <c r="W224" s="8"/>
      <c r="X224" s="8"/>
      <c r="Y224" s="8"/>
      <c r="Z224" s="8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8"/>
      <c r="W225" s="8"/>
      <c r="X225" s="8"/>
      <c r="Y225" s="8"/>
      <c r="Z225" s="8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8"/>
      <c r="W226" s="8"/>
      <c r="X226" s="8"/>
      <c r="Y226" s="8"/>
      <c r="Z226" s="8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8"/>
      <c r="W227" s="8"/>
      <c r="X227" s="8"/>
      <c r="Y227" s="8"/>
      <c r="Z227" s="8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8"/>
      <c r="W228" s="8"/>
      <c r="X228" s="8"/>
      <c r="Y228" s="8"/>
      <c r="Z228" s="8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8"/>
      <c r="W229" s="8"/>
      <c r="X229" s="8"/>
      <c r="Y229" s="8"/>
      <c r="Z229" s="8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8"/>
      <c r="W230" s="8"/>
      <c r="X230" s="8"/>
      <c r="Y230" s="8"/>
      <c r="Z230" s="8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8"/>
      <c r="W231" s="8"/>
      <c r="X231" s="8"/>
      <c r="Y231" s="8"/>
      <c r="Z231" s="8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8"/>
      <c r="W232" s="8"/>
      <c r="X232" s="8"/>
      <c r="Y232" s="8"/>
      <c r="Z232" s="8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8"/>
      <c r="W233" s="8"/>
      <c r="X233" s="8"/>
      <c r="Y233" s="8"/>
      <c r="Z233" s="8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8"/>
      <c r="W234" s="8"/>
      <c r="X234" s="8"/>
      <c r="Y234" s="8"/>
      <c r="Z234" s="8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8"/>
      <c r="W235" s="8"/>
      <c r="X235" s="8"/>
      <c r="Y235" s="8"/>
      <c r="Z235" s="8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8"/>
      <c r="W236" s="8"/>
      <c r="X236" s="8"/>
      <c r="Y236" s="8"/>
      <c r="Z236" s="8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8"/>
      <c r="W237" s="8"/>
      <c r="X237" s="8"/>
      <c r="Y237" s="8"/>
      <c r="Z237" s="8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8"/>
      <c r="W238" s="8"/>
      <c r="X238" s="8"/>
      <c r="Y238" s="8"/>
      <c r="Z238" s="8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8"/>
      <c r="W239" s="8"/>
      <c r="X239" s="8"/>
      <c r="Y239" s="8"/>
      <c r="Z239" s="8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8"/>
      <c r="W240" s="8"/>
      <c r="X240" s="8"/>
      <c r="Y240" s="8"/>
      <c r="Z240" s="8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8"/>
      <c r="W241" s="8"/>
      <c r="X241" s="8"/>
      <c r="Y241" s="8"/>
      <c r="Z241" s="8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8"/>
      <c r="W242" s="8"/>
      <c r="X242" s="8"/>
      <c r="Y242" s="8"/>
      <c r="Z242" s="8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8"/>
      <c r="W243" s="8"/>
      <c r="X243" s="8"/>
      <c r="Y243" s="8"/>
      <c r="Z243" s="8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8"/>
      <c r="W244" s="8"/>
      <c r="X244" s="8"/>
      <c r="Y244" s="8"/>
      <c r="Z244" s="8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8"/>
      <c r="W245" s="8"/>
      <c r="X245" s="8"/>
      <c r="Y245" s="8"/>
      <c r="Z245" s="8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8"/>
      <c r="W246" s="8"/>
      <c r="X246" s="8"/>
      <c r="Y246" s="8"/>
      <c r="Z246" s="8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8"/>
      <c r="W247" s="8"/>
      <c r="X247" s="8"/>
      <c r="Y247" s="8"/>
      <c r="Z247" s="8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8"/>
      <c r="W248" s="8"/>
      <c r="X248" s="8"/>
      <c r="Y248" s="8"/>
      <c r="Z248" s="8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8"/>
      <c r="W249" s="8"/>
      <c r="X249" s="8"/>
      <c r="Y249" s="8"/>
      <c r="Z249" s="8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8"/>
      <c r="W250" s="8"/>
      <c r="X250" s="8"/>
      <c r="Y250" s="8"/>
      <c r="Z250" s="8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8"/>
      <c r="W251" s="8"/>
      <c r="X251" s="8"/>
      <c r="Y251" s="8"/>
      <c r="Z251" s="8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8"/>
      <c r="W252" s="8"/>
      <c r="X252" s="8"/>
      <c r="Y252" s="8"/>
      <c r="Z252" s="8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8"/>
      <c r="W253" s="8"/>
      <c r="X253" s="8"/>
      <c r="Y253" s="8"/>
      <c r="Z253" s="8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8"/>
      <c r="W254" s="8"/>
      <c r="X254" s="8"/>
      <c r="Y254" s="8"/>
      <c r="Z254" s="8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8"/>
      <c r="W255" s="8"/>
      <c r="X255" s="8"/>
      <c r="Y255" s="8"/>
      <c r="Z255" s="8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8"/>
      <c r="W256" s="8"/>
      <c r="X256" s="8"/>
      <c r="Y256" s="8"/>
      <c r="Z256" s="8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8"/>
      <c r="W257" s="8"/>
      <c r="X257" s="8"/>
      <c r="Y257" s="8"/>
      <c r="Z257" s="8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8"/>
      <c r="W258" s="8"/>
      <c r="X258" s="8"/>
      <c r="Y258" s="8"/>
      <c r="Z258" s="8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8"/>
      <c r="W259" s="8"/>
      <c r="X259" s="8"/>
      <c r="Y259" s="8"/>
      <c r="Z259" s="8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8"/>
      <c r="W260" s="8"/>
      <c r="X260" s="8"/>
      <c r="Y260" s="8"/>
      <c r="Z260" s="8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8"/>
      <c r="W261" s="8"/>
      <c r="X261" s="8"/>
      <c r="Y261" s="8"/>
      <c r="Z261" s="8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8"/>
      <c r="W262" s="8"/>
      <c r="X262" s="8"/>
      <c r="Y262" s="8"/>
      <c r="Z262" s="8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8"/>
      <c r="W263" s="8"/>
      <c r="X263" s="8"/>
      <c r="Y263" s="8"/>
      <c r="Z263" s="8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8"/>
      <c r="W264" s="8"/>
      <c r="X264" s="8"/>
      <c r="Y264" s="8"/>
      <c r="Z264" s="8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8"/>
      <c r="W265" s="8"/>
      <c r="X265" s="8"/>
      <c r="Y265" s="8"/>
      <c r="Z265" s="8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8"/>
      <c r="W266" s="8"/>
      <c r="X266" s="8"/>
      <c r="Y266" s="8"/>
      <c r="Z266" s="8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60"/>
      <c r="B1" s="261" t="s">
        <v>172</v>
      </c>
      <c r="U1" s="260"/>
      <c r="V1" s="8"/>
      <c r="W1" s="8"/>
      <c r="X1" s="8"/>
      <c r="Y1" s="8"/>
      <c r="Z1" s="8"/>
    </row>
    <row r="2">
      <c r="A2" s="260"/>
      <c r="B2" s="262" t="s">
        <v>173</v>
      </c>
      <c r="U2" s="260"/>
      <c r="V2" s="8"/>
      <c r="W2" s="8"/>
      <c r="X2" s="8"/>
      <c r="Y2" s="8"/>
      <c r="Z2" s="8"/>
    </row>
    <row r="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8"/>
      <c r="W3" s="8"/>
      <c r="X3" s="8"/>
      <c r="Y3" s="8"/>
      <c r="Z3" s="8"/>
    </row>
    <row r="4">
      <c r="A4" s="260"/>
      <c r="B4" s="260" t="s">
        <v>174</v>
      </c>
      <c r="C4" s="260"/>
      <c r="D4" s="260" t="s">
        <v>6</v>
      </c>
      <c r="E4" s="260"/>
      <c r="F4" s="260"/>
      <c r="G4" s="260"/>
      <c r="H4" s="260"/>
      <c r="I4" s="260"/>
      <c r="J4" s="260"/>
      <c r="K4" s="260"/>
      <c r="L4" s="260"/>
      <c r="M4" s="260" t="s">
        <v>175</v>
      </c>
      <c r="N4" s="260"/>
      <c r="O4" s="260"/>
      <c r="P4" s="260"/>
      <c r="Q4" s="260"/>
      <c r="R4" s="260"/>
      <c r="S4" s="260"/>
      <c r="T4" s="260"/>
      <c r="U4" s="260"/>
      <c r="V4" s="8"/>
      <c r="W4" s="8"/>
      <c r="X4" s="8"/>
      <c r="Y4" s="8"/>
      <c r="Z4" s="8"/>
    </row>
    <row r="5">
      <c r="A5" s="260"/>
      <c r="B5" s="260" t="s">
        <v>176</v>
      </c>
      <c r="C5" s="260"/>
      <c r="D5" s="260" t="s">
        <v>6</v>
      </c>
      <c r="E5" s="260"/>
      <c r="F5" s="260"/>
      <c r="G5" s="260"/>
      <c r="H5" s="260"/>
      <c r="I5" s="260"/>
      <c r="J5" s="260"/>
      <c r="K5" s="260"/>
      <c r="L5" s="260"/>
      <c r="M5" s="260" t="s">
        <v>177</v>
      </c>
      <c r="N5" s="260"/>
      <c r="O5" s="260"/>
      <c r="P5" s="260"/>
      <c r="Q5" s="260"/>
      <c r="R5" s="260"/>
      <c r="S5" s="260"/>
      <c r="T5" s="260"/>
      <c r="U5" s="260"/>
      <c r="V5" s="8"/>
      <c r="W5" s="8"/>
      <c r="X5" s="8"/>
      <c r="Y5" s="8"/>
      <c r="Z5" s="8"/>
    </row>
    <row r="6">
      <c r="A6" s="260"/>
      <c r="B6" s="260" t="s">
        <v>178</v>
      </c>
      <c r="C6" s="260"/>
      <c r="D6" s="260" t="s">
        <v>6</v>
      </c>
      <c r="E6" s="260"/>
      <c r="F6" s="260"/>
      <c r="G6" s="260"/>
      <c r="H6" s="260"/>
      <c r="I6" s="260"/>
      <c r="J6" s="260"/>
      <c r="K6" s="260"/>
      <c r="L6" s="260"/>
      <c r="M6" s="260" t="s">
        <v>179</v>
      </c>
      <c r="N6" s="260"/>
      <c r="O6" s="260"/>
      <c r="P6" s="260"/>
      <c r="Q6" s="260"/>
      <c r="R6" s="260"/>
      <c r="S6" s="260"/>
      <c r="T6" s="260"/>
      <c r="U6" s="260"/>
      <c r="V6" s="8"/>
      <c r="W6" s="8"/>
      <c r="X6" s="8"/>
      <c r="Y6" s="8"/>
      <c r="Z6" s="8"/>
    </row>
    <row r="7">
      <c r="A7" s="260"/>
      <c r="B7" s="260" t="s">
        <v>180</v>
      </c>
      <c r="C7" s="260"/>
      <c r="D7" s="260" t="s">
        <v>6</v>
      </c>
      <c r="E7" s="260"/>
      <c r="F7" s="260"/>
      <c r="G7" s="260"/>
      <c r="H7" s="260"/>
      <c r="I7" s="260"/>
      <c r="J7" s="260"/>
      <c r="K7" s="260"/>
      <c r="L7" s="260"/>
      <c r="M7" s="8"/>
      <c r="N7" s="260"/>
      <c r="O7" s="260"/>
      <c r="P7" s="260"/>
      <c r="Q7" s="260"/>
      <c r="R7" s="260"/>
      <c r="S7" s="263"/>
      <c r="U7" s="260"/>
      <c r="V7" s="8"/>
      <c r="W7" s="8"/>
      <c r="X7" s="8"/>
      <c r="Y7" s="8"/>
      <c r="Z7" s="8"/>
    </row>
    <row r="8">
      <c r="A8" s="260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4" t="s">
        <v>167</v>
      </c>
      <c r="U8" s="260"/>
      <c r="V8" s="8"/>
      <c r="W8" s="8"/>
      <c r="X8" s="8"/>
      <c r="Y8" s="8"/>
      <c r="Z8" s="8"/>
    </row>
    <row r="9">
      <c r="A9" s="260"/>
      <c r="B9" s="265" t="s">
        <v>181</v>
      </c>
      <c r="C9" s="266" t="s">
        <v>182</v>
      </c>
      <c r="D9" s="5"/>
      <c r="E9" s="23"/>
      <c r="F9" s="267" t="s">
        <v>183</v>
      </c>
      <c r="G9" s="37"/>
      <c r="H9" s="37"/>
      <c r="I9" s="37"/>
      <c r="J9" s="37"/>
      <c r="K9" s="38"/>
      <c r="L9" s="267" t="s">
        <v>184</v>
      </c>
      <c r="M9" s="37"/>
      <c r="N9" s="37"/>
      <c r="O9" s="37"/>
      <c r="P9" s="37"/>
      <c r="Q9" s="37"/>
      <c r="R9" s="37"/>
      <c r="S9" s="38"/>
      <c r="T9" s="265" t="s">
        <v>185</v>
      </c>
      <c r="U9" s="260"/>
      <c r="V9" s="8"/>
      <c r="W9" s="8"/>
      <c r="X9" s="8"/>
      <c r="Y9" s="8"/>
      <c r="Z9" s="8"/>
    </row>
    <row r="10">
      <c r="A10" s="260"/>
      <c r="B10" s="12"/>
      <c r="C10" s="135"/>
      <c r="E10" s="109"/>
      <c r="F10" s="268" t="s">
        <v>186</v>
      </c>
      <c r="G10" s="268" t="s">
        <v>187</v>
      </c>
      <c r="H10" s="268" t="s">
        <v>188</v>
      </c>
      <c r="I10" s="269" t="s">
        <v>189</v>
      </c>
      <c r="J10" s="23"/>
      <c r="K10" s="268" t="s">
        <v>190</v>
      </c>
      <c r="L10" s="265" t="s">
        <v>191</v>
      </c>
      <c r="M10" s="265" t="s">
        <v>192</v>
      </c>
      <c r="N10" s="267" t="s">
        <v>193</v>
      </c>
      <c r="O10" s="37"/>
      <c r="P10" s="37"/>
      <c r="Q10" s="37"/>
      <c r="R10" s="37"/>
      <c r="S10" s="38"/>
      <c r="T10" s="12"/>
      <c r="U10" s="270"/>
      <c r="V10" s="8"/>
      <c r="W10" s="8"/>
      <c r="X10" s="8"/>
      <c r="Y10" s="8"/>
      <c r="Z10" s="8"/>
    </row>
    <row r="11">
      <c r="A11" s="260"/>
      <c r="B11" s="12"/>
      <c r="C11" s="135"/>
      <c r="E11" s="109"/>
      <c r="F11" s="12"/>
      <c r="G11" s="12"/>
      <c r="H11" s="12"/>
      <c r="I11" s="135"/>
      <c r="J11" s="109"/>
      <c r="K11" s="12"/>
      <c r="L11" s="12"/>
      <c r="M11" s="12"/>
      <c r="N11" s="267" t="s">
        <v>194</v>
      </c>
      <c r="O11" s="37"/>
      <c r="P11" s="38"/>
      <c r="Q11" s="267" t="s">
        <v>195</v>
      </c>
      <c r="R11" s="37"/>
      <c r="S11" s="38"/>
      <c r="T11" s="12"/>
      <c r="U11" s="270"/>
      <c r="V11" s="8"/>
      <c r="W11" s="8"/>
      <c r="X11" s="8"/>
      <c r="Y11" s="8"/>
      <c r="Z11" s="8"/>
    </row>
    <row r="12">
      <c r="A12" s="260"/>
      <c r="B12" s="18"/>
      <c r="C12" s="49"/>
      <c r="D12" s="11"/>
      <c r="E12" s="50"/>
      <c r="F12" s="18"/>
      <c r="G12" s="18"/>
      <c r="H12" s="18"/>
      <c r="I12" s="49"/>
      <c r="J12" s="50"/>
      <c r="K12" s="18"/>
      <c r="L12" s="18"/>
      <c r="M12" s="18"/>
      <c r="N12" s="271" t="s">
        <v>196</v>
      </c>
      <c r="O12" s="271" t="s">
        <v>197</v>
      </c>
      <c r="P12" s="271" t="s">
        <v>198</v>
      </c>
      <c r="Q12" s="271" t="s">
        <v>196</v>
      </c>
      <c r="R12" s="271" t="s">
        <v>199</v>
      </c>
      <c r="S12" s="271" t="s">
        <v>200</v>
      </c>
      <c r="T12" s="18"/>
      <c r="U12" s="260"/>
      <c r="V12" s="8"/>
      <c r="W12" s="8"/>
      <c r="X12" s="8"/>
      <c r="Y12" s="8"/>
      <c r="Z12" s="8"/>
    </row>
    <row r="13">
      <c r="A13" s="260"/>
      <c r="B13" s="272" t="s">
        <v>201</v>
      </c>
      <c r="C13" s="273" t="s">
        <v>202</v>
      </c>
      <c r="D13" s="37"/>
      <c r="E13" s="38"/>
      <c r="F13" s="272" t="s">
        <v>203</v>
      </c>
      <c r="G13" s="272" t="s">
        <v>204</v>
      </c>
      <c r="H13" s="272" t="s">
        <v>205</v>
      </c>
      <c r="I13" s="273" t="s">
        <v>206</v>
      </c>
      <c r="J13" s="38"/>
      <c r="K13" s="272" t="s">
        <v>207</v>
      </c>
      <c r="L13" s="272" t="s">
        <v>208</v>
      </c>
      <c r="M13" s="272" t="s">
        <v>209</v>
      </c>
      <c r="N13" s="272" t="s">
        <v>210</v>
      </c>
      <c r="O13" s="272" t="s">
        <v>211</v>
      </c>
      <c r="P13" s="272" t="s">
        <v>212</v>
      </c>
      <c r="Q13" s="272" t="s">
        <v>213</v>
      </c>
      <c r="R13" s="272" t="s">
        <v>214</v>
      </c>
      <c r="S13" s="272" t="s">
        <v>215</v>
      </c>
      <c r="T13" s="272" t="s">
        <v>216</v>
      </c>
      <c r="U13" s="260"/>
      <c r="V13" s="8"/>
      <c r="W13" s="8"/>
      <c r="X13" s="8"/>
      <c r="Y13" s="8"/>
      <c r="Z13" s="8"/>
    </row>
    <row r="14">
      <c r="A14" s="274"/>
      <c r="B14" s="275">
        <f>DPA!B31</f>
        <v>5</v>
      </c>
      <c r="C14" s="275" t="str">
        <f>DPA!C31</f>
        <v>BELANJA DAERAH</v>
      </c>
      <c r="D14" s="275"/>
      <c r="E14" s="275"/>
      <c r="F14" s="275"/>
      <c r="G14" s="275"/>
      <c r="H14" s="275"/>
      <c r="I14" s="275"/>
      <c r="J14" s="275"/>
      <c r="K14" s="276">
        <f>DPA!S31</f>
        <v>94371800</v>
      </c>
      <c r="L14" s="277"/>
      <c r="M14" s="277">
        <f t="shared" ref="M14:M15" si="1">K14</f>
        <v>94371800</v>
      </c>
      <c r="N14" s="278"/>
      <c r="O14" s="278"/>
      <c r="P14" s="278"/>
      <c r="Q14" s="278"/>
      <c r="R14" s="277"/>
      <c r="S14" s="277"/>
      <c r="T14" s="277"/>
      <c r="U14" s="279"/>
      <c r="V14" s="72"/>
      <c r="W14" s="72"/>
      <c r="X14" s="72"/>
      <c r="Y14" s="72"/>
      <c r="Z14" s="72"/>
    </row>
    <row r="15">
      <c r="A15" s="274"/>
      <c r="B15" s="275" t="str">
        <f>DPA!B32</f>
        <v>5.1</v>
      </c>
      <c r="C15" s="275" t="str">
        <f>DPA!C32</f>
        <v>BELANJA OPERASI</v>
      </c>
      <c r="D15" s="275"/>
      <c r="E15" s="275"/>
      <c r="F15" s="277"/>
      <c r="G15" s="280"/>
      <c r="H15" s="280"/>
      <c r="I15" s="280"/>
      <c r="J15" s="280"/>
      <c r="K15" s="276">
        <f>DPA!S32</f>
        <v>32999400</v>
      </c>
      <c r="L15" s="277"/>
      <c r="M15" s="277">
        <f t="shared" si="1"/>
        <v>32999400</v>
      </c>
      <c r="N15" s="278"/>
      <c r="O15" s="278"/>
      <c r="P15" s="278"/>
      <c r="Q15" s="278"/>
      <c r="R15" s="277"/>
      <c r="S15" s="277"/>
      <c r="T15" s="277"/>
      <c r="U15" s="279"/>
      <c r="V15" s="72"/>
      <c r="W15" s="72"/>
      <c r="X15" s="72"/>
      <c r="Y15" s="72"/>
      <c r="Z15" s="72"/>
    </row>
    <row r="16">
      <c r="A16" s="274"/>
      <c r="B16" s="275"/>
      <c r="C16" s="275"/>
      <c r="D16" s="275"/>
      <c r="E16" s="275"/>
      <c r="F16" s="277"/>
      <c r="G16" s="280"/>
      <c r="H16" s="280"/>
      <c r="I16" s="280"/>
      <c r="J16" s="280"/>
      <c r="K16" s="276"/>
      <c r="L16" s="277"/>
      <c r="M16" s="277"/>
      <c r="N16" s="278"/>
      <c r="O16" s="278"/>
      <c r="P16" s="278"/>
      <c r="Q16" s="278"/>
      <c r="R16" s="277"/>
      <c r="S16" s="277"/>
      <c r="T16" s="277"/>
      <c r="U16" s="279"/>
      <c r="V16" s="72"/>
      <c r="W16" s="72"/>
      <c r="X16" s="72"/>
      <c r="Y16" s="72"/>
      <c r="Z16" s="72"/>
    </row>
    <row r="17">
      <c r="A17" s="274"/>
      <c r="B17" s="275" t="str">
        <f>DPA!B34</f>
        <v> 5.2.2.</v>
      </c>
      <c r="C17" s="275" t="str">
        <f>DPA!C34</f>
        <v> Belanja Barang dan Jasa</v>
      </c>
      <c r="D17" s="275"/>
      <c r="E17" s="275"/>
      <c r="F17" s="277"/>
      <c r="G17" s="280"/>
      <c r="H17" s="280"/>
      <c r="I17" s="280"/>
      <c r="J17" s="280"/>
      <c r="K17" s="276">
        <f>DPA!S34</f>
        <v>32999400</v>
      </c>
      <c r="L17" s="277"/>
      <c r="M17" s="277">
        <f>K17</f>
        <v>32999400</v>
      </c>
      <c r="N17" s="278"/>
      <c r="O17" s="278"/>
      <c r="P17" s="278"/>
      <c r="Q17" s="278"/>
      <c r="R17" s="185"/>
      <c r="S17" s="185"/>
      <c r="T17" s="277"/>
      <c r="U17" s="279"/>
      <c r="V17" s="72"/>
      <c r="W17" s="72"/>
      <c r="X17" s="72"/>
      <c r="Y17" s="72"/>
      <c r="Z17" s="72"/>
    </row>
    <row r="18">
      <c r="A18" s="274"/>
      <c r="B18" s="275"/>
      <c r="C18" s="275"/>
      <c r="D18" s="275"/>
      <c r="E18" s="275"/>
      <c r="F18" s="277"/>
      <c r="G18" s="280"/>
      <c r="H18" s="280"/>
      <c r="I18" s="280"/>
      <c r="J18" s="280"/>
      <c r="K18" s="276"/>
      <c r="L18" s="277"/>
      <c r="M18" s="277"/>
      <c r="N18" s="278"/>
      <c r="O18" s="278"/>
      <c r="P18" s="278"/>
      <c r="Q18" s="278"/>
      <c r="R18" s="277"/>
      <c r="S18" s="278"/>
      <c r="T18" s="277"/>
      <c r="U18" s="279"/>
      <c r="V18" s="72"/>
      <c r="W18" s="72"/>
      <c r="X18" s="72"/>
      <c r="Y18" s="72"/>
      <c r="Z18" s="72"/>
    </row>
    <row r="19">
      <c r="A19" s="274"/>
      <c r="B19" s="275" t="str">
        <f>DPA!B36</f>
        <v> 5.2.2.01</v>
      </c>
      <c r="C19" s="275" t="str">
        <f>DPA!C36</f>
        <v>Belanja Bahan Pakai Habis</v>
      </c>
      <c r="D19" s="275"/>
      <c r="E19" s="275"/>
      <c r="F19" s="277"/>
      <c r="G19" s="280"/>
      <c r="H19" s="280"/>
      <c r="I19" s="280"/>
      <c r="J19" s="280"/>
      <c r="K19" s="276">
        <f>DPA!S36</f>
        <v>1791400</v>
      </c>
      <c r="L19" s="277"/>
      <c r="M19" s="277">
        <f>K19</f>
        <v>1791400</v>
      </c>
      <c r="N19" s="278"/>
      <c r="O19" s="278"/>
      <c r="P19" s="278"/>
      <c r="Q19" s="278"/>
      <c r="R19" s="277"/>
      <c r="S19" s="278"/>
      <c r="T19" s="277"/>
      <c r="U19" s="279"/>
      <c r="V19" s="72"/>
      <c r="W19" s="72"/>
      <c r="X19" s="72"/>
      <c r="Y19" s="72"/>
      <c r="Z19" s="72"/>
    </row>
    <row r="20">
      <c r="A20" s="260"/>
      <c r="B20" s="275"/>
      <c r="C20" s="275"/>
      <c r="D20" s="275"/>
      <c r="E20" s="275"/>
      <c r="F20" s="281"/>
      <c r="G20" s="282"/>
      <c r="H20" s="282"/>
      <c r="I20" s="282"/>
      <c r="J20" s="282"/>
      <c r="K20" s="276"/>
      <c r="L20" s="281"/>
      <c r="M20" s="277"/>
      <c r="N20" s="283"/>
      <c r="O20" s="283"/>
      <c r="P20" s="278"/>
      <c r="Q20" s="283"/>
      <c r="R20" s="277"/>
      <c r="S20" s="278"/>
      <c r="T20" s="277"/>
      <c r="U20" s="270"/>
      <c r="V20" s="8"/>
      <c r="W20" s="8"/>
      <c r="X20" s="8"/>
      <c r="Y20" s="8"/>
      <c r="Z20" s="8"/>
    </row>
    <row r="21" ht="15.75" customHeight="1">
      <c r="A21" s="260"/>
      <c r="B21" s="275" t="str">
        <f>DPA!B38</f>
        <v>5.1.02.01.01.0024</v>
      </c>
      <c r="C21" s="275" t="str">
        <f>DPA!C38</f>
        <v>Belanja Alat/Bahan untuk Kegiatan Kantor-Alat Tulis Kantor</v>
      </c>
      <c r="D21" s="275"/>
      <c r="E21" s="275"/>
      <c r="F21" s="281"/>
      <c r="G21" s="282"/>
      <c r="H21" s="282"/>
      <c r="I21" s="282"/>
      <c r="J21" s="282"/>
      <c r="K21" s="276">
        <f>DPA!S38</f>
        <v>656000</v>
      </c>
      <c r="L21" s="277"/>
      <c r="M21" s="277">
        <f t="shared" ref="M21:M28" si="2">K21</f>
        <v>656000</v>
      </c>
      <c r="N21" s="278"/>
      <c r="O21" s="278"/>
      <c r="P21" s="278"/>
      <c r="Q21" s="278"/>
      <c r="R21" s="277"/>
      <c r="S21" s="278"/>
      <c r="T21" s="277"/>
      <c r="U21" s="270"/>
      <c r="V21" s="8"/>
      <c r="W21" s="8"/>
      <c r="X21" s="8"/>
      <c r="Y21" s="8"/>
      <c r="Z21" s="8"/>
    </row>
    <row r="22" ht="15.75" customHeight="1">
      <c r="A22" s="260"/>
      <c r="B22" s="275"/>
      <c r="C22" s="275"/>
      <c r="D22" s="284" t="str">
        <f>DPA!D39</f>
        <v>-</v>
      </c>
      <c r="E22" s="285" t="str">
        <f>DPA!E39</f>
        <v>Alat Tulis Kantor
Spesifikasi : Stof Map Folio</v>
      </c>
      <c r="F22" s="281"/>
      <c r="G22" s="282"/>
      <c r="H22" s="282"/>
      <c r="I22" s="282"/>
      <c r="J22" s="282"/>
      <c r="K22" s="276">
        <f>DPA!S39</f>
        <v>330000</v>
      </c>
      <c r="L22" s="277"/>
      <c r="M22" s="277">
        <f t="shared" si="2"/>
        <v>330000</v>
      </c>
      <c r="N22" s="278"/>
      <c r="O22" s="278"/>
      <c r="P22" s="278"/>
      <c r="Q22" s="278"/>
      <c r="R22" s="277"/>
      <c r="S22" s="278"/>
      <c r="T22" s="277"/>
      <c r="U22" s="270"/>
      <c r="V22" s="8"/>
      <c r="W22" s="8"/>
      <c r="X22" s="8"/>
      <c r="Y22" s="8"/>
      <c r="Z22" s="8"/>
    </row>
    <row r="23" ht="15.75" customHeight="1">
      <c r="A23" s="260"/>
      <c r="B23" s="275"/>
      <c r="C23" s="275"/>
      <c r="D23" s="284" t="str">
        <f>DPA!D40</f>
        <v>-</v>
      </c>
      <c r="E23" s="285" t="str">
        <f>DPA!E40</f>
        <v>Alat Tulis Kantor
Spesifikasi : Trigonal Clip No. 5 Atom</v>
      </c>
      <c r="F23" s="281"/>
      <c r="G23" s="282"/>
      <c r="H23" s="283"/>
      <c r="I23" s="282"/>
      <c r="J23" s="282"/>
      <c r="K23" s="276">
        <f>DPA!S40</f>
        <v>66000</v>
      </c>
      <c r="L23" s="281"/>
      <c r="M23" s="277">
        <f t="shared" si="2"/>
        <v>66000</v>
      </c>
      <c r="N23" s="283"/>
      <c r="O23" s="283"/>
      <c r="P23" s="283"/>
      <c r="Q23" s="283"/>
      <c r="R23" s="281"/>
      <c r="S23" s="283"/>
      <c r="T23" s="277"/>
      <c r="U23" s="270"/>
      <c r="V23" s="8"/>
      <c r="W23" s="8"/>
      <c r="X23" s="8"/>
      <c r="Y23" s="8"/>
      <c r="Z23" s="8"/>
    </row>
    <row r="24" ht="15.75" customHeight="1">
      <c r="A24" s="260"/>
      <c r="B24" s="275"/>
      <c r="C24" s="275"/>
      <c r="D24" s="284" t="str">
        <f>DPA!D41</f>
        <v>-</v>
      </c>
      <c r="E24" s="285" t="str">
        <f>DPA!E41</f>
        <v>Alat Tulis Kantor
Spesifikasi : Box File Jumbo Bantex</v>
      </c>
      <c r="F24" s="281"/>
      <c r="G24" s="272"/>
      <c r="H24" s="282"/>
      <c r="I24" s="282"/>
      <c r="J24" s="282"/>
      <c r="K24" s="276">
        <f>DPA!S41</f>
        <v>260000</v>
      </c>
      <c r="L24" s="281"/>
      <c r="M24" s="277">
        <f t="shared" si="2"/>
        <v>260000</v>
      </c>
      <c r="N24" s="283"/>
      <c r="O24" s="283"/>
      <c r="P24" s="283"/>
      <c r="Q24" s="283"/>
      <c r="R24" s="281"/>
      <c r="S24" s="283"/>
      <c r="T24" s="277"/>
      <c r="U24" s="260"/>
      <c r="V24" s="8"/>
      <c r="W24" s="8"/>
      <c r="X24" s="8"/>
      <c r="Y24" s="8"/>
      <c r="Z24" s="8"/>
    </row>
    <row r="25" ht="15.75" customHeight="1">
      <c r="A25" s="260"/>
      <c r="B25" s="275"/>
      <c r="C25" s="275"/>
      <c r="D25" s="275"/>
      <c r="E25" s="275"/>
      <c r="F25" s="281"/>
      <c r="G25" s="272"/>
      <c r="H25" s="282"/>
      <c r="I25" s="282"/>
      <c r="J25" s="282"/>
      <c r="K25" s="276" t="str">
        <f>DPA!S42</f>
        <v/>
      </c>
      <c r="L25" s="281"/>
      <c r="M25" s="277" t="str">
        <f t="shared" si="2"/>
        <v/>
      </c>
      <c r="N25" s="283"/>
      <c r="O25" s="283"/>
      <c r="P25" s="283"/>
      <c r="Q25" s="283"/>
      <c r="R25" s="281"/>
      <c r="S25" s="283"/>
      <c r="T25" s="277"/>
      <c r="U25" s="260"/>
      <c r="V25" s="8"/>
      <c r="W25" s="8"/>
      <c r="X25" s="8"/>
      <c r="Y25" s="8"/>
      <c r="Z25" s="8"/>
    </row>
    <row r="26" ht="15.75" customHeight="1">
      <c r="A26" s="260"/>
      <c r="B26" s="275" t="str">
        <f>DPA!B43</f>
        <v>5.1.02.01.01.0025</v>
      </c>
      <c r="C26" s="275" t="str">
        <f>DPA!C43</f>
        <v>Belanja Alat/Bahan untuk Kegiatan Kantor- Kertas dan Cover</v>
      </c>
      <c r="D26" s="275"/>
      <c r="E26" s="275"/>
      <c r="F26" s="281"/>
      <c r="G26" s="272"/>
      <c r="H26" s="282"/>
      <c r="I26" s="282"/>
      <c r="J26" s="282"/>
      <c r="K26" s="276">
        <f>DPA!S43</f>
        <v>441400</v>
      </c>
      <c r="L26" s="281"/>
      <c r="M26" s="277">
        <f t="shared" si="2"/>
        <v>441400</v>
      </c>
      <c r="N26" s="283"/>
      <c r="O26" s="283"/>
      <c r="P26" s="283"/>
      <c r="Q26" s="283"/>
      <c r="R26" s="281"/>
      <c r="S26" s="283"/>
      <c r="T26" s="277"/>
      <c r="U26" s="260"/>
      <c r="V26" s="8"/>
      <c r="W26" s="8"/>
      <c r="X26" s="8"/>
      <c r="Y26" s="8"/>
      <c r="Z26" s="8"/>
    </row>
    <row r="27" ht="15.75" customHeight="1">
      <c r="A27" s="260"/>
      <c r="B27" s="275"/>
      <c r="C27" s="275"/>
      <c r="D27" s="284" t="str">
        <f>DPA!D44</f>
        <v>-</v>
      </c>
      <c r="E27" s="285" t="str">
        <f>DPA!E44</f>
        <v>Kertas dan Cover
Spesifikasi : Kertas HVS A4 70 gr</v>
      </c>
      <c r="F27" s="281"/>
      <c r="G27" s="272"/>
      <c r="H27" s="282"/>
      <c r="I27" s="282"/>
      <c r="J27" s="282"/>
      <c r="K27" s="276">
        <f>DPA!S44</f>
        <v>164800</v>
      </c>
      <c r="L27" s="281"/>
      <c r="M27" s="277">
        <f t="shared" si="2"/>
        <v>164800</v>
      </c>
      <c r="N27" s="283"/>
      <c r="O27" s="283"/>
      <c r="P27" s="283"/>
      <c r="Q27" s="283"/>
      <c r="R27" s="281"/>
      <c r="S27" s="283"/>
      <c r="T27" s="277"/>
      <c r="U27" s="260"/>
      <c r="V27" s="8"/>
      <c r="W27" s="8"/>
      <c r="X27" s="8"/>
      <c r="Y27" s="8"/>
      <c r="Z27" s="8"/>
    </row>
    <row r="28" ht="15.75" customHeight="1">
      <c r="A28" s="260"/>
      <c r="B28" s="275"/>
      <c r="C28" s="275"/>
      <c r="D28" s="284" t="str">
        <f>DPA!D45</f>
        <v>-</v>
      </c>
      <c r="E28" s="285" t="str">
        <f>DPA!E45</f>
        <v>Kertas dan Cover
Spesifikasi : Kertas HVS F4 70 gr</v>
      </c>
      <c r="F28" s="281"/>
      <c r="G28" s="272"/>
      <c r="H28" s="282"/>
      <c r="I28" s="282"/>
      <c r="J28" s="282"/>
      <c r="K28" s="276">
        <f>DPA!S45</f>
        <v>276600</v>
      </c>
      <c r="L28" s="281"/>
      <c r="M28" s="277">
        <f t="shared" si="2"/>
        <v>276600</v>
      </c>
      <c r="N28" s="283"/>
      <c r="O28" s="283"/>
      <c r="P28" s="283"/>
      <c r="Q28" s="283"/>
      <c r="R28" s="281"/>
      <c r="S28" s="283"/>
      <c r="T28" s="277"/>
      <c r="U28" s="260"/>
      <c r="V28" s="8"/>
      <c r="W28" s="8"/>
      <c r="X28" s="8"/>
      <c r="Y28" s="8"/>
      <c r="Z28" s="8"/>
    </row>
    <row r="29" ht="15.75" customHeight="1">
      <c r="A29" s="260"/>
      <c r="B29" s="275"/>
      <c r="C29" s="275"/>
      <c r="D29" s="275"/>
      <c r="E29" s="275"/>
      <c r="F29" s="281"/>
      <c r="G29" s="272"/>
      <c r="H29" s="282"/>
      <c r="I29" s="282"/>
      <c r="J29" s="282"/>
      <c r="K29" s="276"/>
      <c r="L29" s="281"/>
      <c r="M29" s="277"/>
      <c r="N29" s="283"/>
      <c r="O29" s="283"/>
      <c r="P29" s="283"/>
      <c r="Q29" s="283"/>
      <c r="R29" s="281"/>
      <c r="S29" s="283"/>
      <c r="T29" s="277"/>
      <c r="U29" s="260"/>
      <c r="V29" s="8"/>
      <c r="W29" s="8"/>
      <c r="X29" s="8"/>
      <c r="Y29" s="8"/>
      <c r="Z29" s="8"/>
    </row>
    <row r="30" ht="15.75" customHeight="1">
      <c r="A30" s="260"/>
      <c r="B30" s="275" t="str">
        <f>DPA!B47</f>
        <v>5.1.02.01.01.0026</v>
      </c>
      <c r="C30" s="275" t="str">
        <f>DPA!C47</f>
        <v>Belanja Alat/Bahan untuk Kegiatan Kantor- Bahan Cetak</v>
      </c>
      <c r="D30" s="275"/>
      <c r="E30" s="275"/>
      <c r="F30" s="281"/>
      <c r="G30" s="272"/>
      <c r="H30" s="282"/>
      <c r="I30" s="282"/>
      <c r="J30" s="282"/>
      <c r="K30" s="276">
        <f>DPA!S47</f>
        <v>544000</v>
      </c>
      <c r="L30" s="281"/>
      <c r="M30" s="277">
        <f t="shared" ref="M30:M31" si="3">K30</f>
        <v>544000</v>
      </c>
      <c r="N30" s="283"/>
      <c r="O30" s="283"/>
      <c r="P30" s="283"/>
      <c r="Q30" s="283"/>
      <c r="R30" s="281"/>
      <c r="S30" s="283"/>
      <c r="T30" s="277"/>
      <c r="U30" s="260"/>
      <c r="V30" s="8"/>
      <c r="W30" s="8"/>
      <c r="X30" s="8"/>
      <c r="Y30" s="8"/>
      <c r="Z30" s="8"/>
    </row>
    <row r="31" ht="15.75" customHeight="1">
      <c r="A31" s="260"/>
      <c r="B31" s="275"/>
      <c r="C31" s="275"/>
      <c r="D31" s="284" t="str">
        <f>DPA!D48</f>
        <v>-</v>
      </c>
      <c r="E31" s="285" t="str">
        <f>DPA!E48</f>
        <v>Foto Copy
Spesifikasi : Foto copy Hitam Putih-HVS
A4/F4</v>
      </c>
      <c r="F31" s="281"/>
      <c r="G31" s="272"/>
      <c r="H31" s="282"/>
      <c r="I31" s="282"/>
      <c r="J31" s="282"/>
      <c r="K31" s="276">
        <f>DPA!S48</f>
        <v>544000</v>
      </c>
      <c r="L31" s="277"/>
      <c r="M31" s="277">
        <f t="shared" si="3"/>
        <v>544000</v>
      </c>
      <c r="N31" s="278"/>
      <c r="O31" s="278"/>
      <c r="P31" s="278"/>
      <c r="Q31" s="278"/>
      <c r="R31" s="277"/>
      <c r="S31" s="278"/>
      <c r="T31" s="277"/>
      <c r="U31" s="260"/>
      <c r="V31" s="8"/>
      <c r="W31" s="8"/>
      <c r="X31" s="8"/>
      <c r="Y31" s="8"/>
      <c r="Z31" s="8"/>
    </row>
    <row r="32" ht="15.75" customHeight="1">
      <c r="A32" s="260"/>
      <c r="B32" s="275"/>
      <c r="C32" s="275"/>
      <c r="D32" s="275"/>
      <c r="E32" s="275"/>
      <c r="F32" s="281"/>
      <c r="G32" s="272"/>
      <c r="H32" s="282"/>
      <c r="I32" s="282"/>
      <c r="J32" s="282"/>
      <c r="K32" s="276"/>
      <c r="L32" s="281"/>
      <c r="M32" s="277"/>
      <c r="N32" s="283"/>
      <c r="O32" s="283"/>
      <c r="P32" s="283"/>
      <c r="Q32" s="283"/>
      <c r="R32" s="281"/>
      <c r="S32" s="283"/>
      <c r="T32" s="277"/>
      <c r="U32" s="260"/>
      <c r="V32" s="8"/>
      <c r="W32" s="8"/>
      <c r="X32" s="8"/>
      <c r="Y32" s="8"/>
      <c r="Z32" s="8"/>
    </row>
    <row r="33" ht="15.75" customHeight="1">
      <c r="A33" s="260"/>
      <c r="B33" s="275" t="str">
        <f>DPA!B50</f>
        <v>5.1.02.01.01.0027</v>
      </c>
      <c r="C33" s="275" t="str">
        <f>DPA!C50</f>
        <v>Belanja Alat/Bahan untuk Kegiatan Kantor-Benda Pos</v>
      </c>
      <c r="D33" s="275"/>
      <c r="E33" s="275"/>
      <c r="F33" s="281"/>
      <c r="G33" s="272"/>
      <c r="H33" s="282"/>
      <c r="I33" s="282"/>
      <c r="J33" s="282"/>
      <c r="K33" s="276">
        <f>DPA!S50</f>
        <v>150000</v>
      </c>
      <c r="L33" s="281"/>
      <c r="M33" s="277">
        <f t="shared" ref="M33:M34" si="4">K33</f>
        <v>150000</v>
      </c>
      <c r="N33" s="283"/>
      <c r="O33" s="283"/>
      <c r="P33" s="283"/>
      <c r="Q33" s="283"/>
      <c r="R33" s="281"/>
      <c r="S33" s="283"/>
      <c r="T33" s="277"/>
      <c r="U33" s="260"/>
      <c r="V33" s="8"/>
      <c r="W33" s="8"/>
      <c r="X33" s="8"/>
      <c r="Y33" s="8"/>
      <c r="Z33" s="8"/>
    </row>
    <row r="34" ht="15.75" customHeight="1">
      <c r="A34" s="260"/>
      <c r="B34" s="275"/>
      <c r="C34" s="275"/>
      <c r="D34" s="284" t="str">
        <f>DPA!D51</f>
        <v>-</v>
      </c>
      <c r="E34" s="284" t="str">
        <f>DPA!E51</f>
        <v>Materai
Spesifikasi: Materai 10.000</v>
      </c>
      <c r="F34" s="281"/>
      <c r="G34" s="272"/>
      <c r="H34" s="282"/>
      <c r="I34" s="282"/>
      <c r="J34" s="282"/>
      <c r="K34" s="276">
        <f>DPA!S51</f>
        <v>150000</v>
      </c>
      <c r="L34" s="281"/>
      <c r="M34" s="277">
        <f t="shared" si="4"/>
        <v>150000</v>
      </c>
      <c r="N34" s="283"/>
      <c r="O34" s="283"/>
      <c r="P34" s="283"/>
      <c r="Q34" s="283"/>
      <c r="R34" s="281"/>
      <c r="S34" s="283"/>
      <c r="T34" s="277"/>
      <c r="U34" s="260"/>
      <c r="V34" s="8"/>
      <c r="W34" s="8"/>
      <c r="X34" s="8"/>
      <c r="Y34" s="8"/>
      <c r="Z34" s="8"/>
    </row>
    <row r="35" ht="15.75" customHeight="1">
      <c r="A35" s="274"/>
      <c r="B35" s="275"/>
      <c r="C35" s="275"/>
      <c r="D35" s="275"/>
      <c r="E35" s="275"/>
      <c r="F35" s="277"/>
      <c r="G35" s="271"/>
      <c r="H35" s="280"/>
      <c r="I35" s="280"/>
      <c r="J35" s="280"/>
      <c r="K35" s="276"/>
      <c r="L35" s="277"/>
      <c r="M35" s="277"/>
      <c r="N35" s="278"/>
      <c r="O35" s="278"/>
      <c r="P35" s="278"/>
      <c r="Q35" s="278"/>
      <c r="R35" s="277"/>
      <c r="S35" s="278"/>
      <c r="T35" s="277"/>
      <c r="U35" s="274"/>
      <c r="V35" s="72"/>
      <c r="W35" s="72"/>
      <c r="X35" s="72"/>
      <c r="Y35" s="72"/>
      <c r="Z35" s="72"/>
    </row>
    <row r="36" ht="15.75" customHeight="1">
      <c r="A36" s="260"/>
      <c r="B36" s="275" t="str">
        <f>DPA!B53</f>
        <v>5.1.02.04</v>
      </c>
      <c r="C36" s="275" t="str">
        <f>DPA!C53</f>
        <v>Belanja Perjalanan Dinas</v>
      </c>
      <c r="D36" s="275"/>
      <c r="E36" s="275"/>
      <c r="F36" s="281"/>
      <c r="G36" s="272"/>
      <c r="H36" s="282"/>
      <c r="I36" s="282"/>
      <c r="J36" s="282"/>
      <c r="K36" s="276">
        <f>DPA!S53</f>
        <v>31208000</v>
      </c>
      <c r="L36" s="277"/>
      <c r="M36" s="277">
        <f t="shared" ref="M36:M43" si="5">K36</f>
        <v>31208000</v>
      </c>
      <c r="N36" s="278"/>
      <c r="O36" s="278"/>
      <c r="P36" s="278"/>
      <c r="Q36" s="278"/>
      <c r="R36" s="277"/>
      <c r="S36" s="278"/>
      <c r="T36" s="277"/>
      <c r="U36" s="260"/>
      <c r="V36" s="8"/>
      <c r="W36" s="8"/>
      <c r="X36" s="8"/>
      <c r="Y36" s="8"/>
      <c r="Z36" s="8"/>
    </row>
    <row r="37" ht="15.75" customHeight="1">
      <c r="A37" s="260"/>
      <c r="B37" s="275" t="str">
        <f>DPA!B54</f>
        <v>5.1.02.04.01</v>
      </c>
      <c r="C37" s="275" t="str">
        <f>DPA!C54</f>
        <v>Belanja Perjalanan Dinas Dalam Negeri</v>
      </c>
      <c r="D37" s="275" t="str">
        <f>DPA!D54</f>
        <v/>
      </c>
      <c r="E37" s="275" t="str">
        <f>DPA!E54</f>
        <v/>
      </c>
      <c r="F37" s="281"/>
      <c r="G37" s="272"/>
      <c r="H37" s="282"/>
      <c r="I37" s="282"/>
      <c r="J37" s="282"/>
      <c r="K37" s="276">
        <f>DPA!S54</f>
        <v>31208000</v>
      </c>
      <c r="L37" s="281"/>
      <c r="M37" s="277">
        <f t="shared" si="5"/>
        <v>31208000</v>
      </c>
      <c r="N37" s="283"/>
      <c r="O37" s="283"/>
      <c r="P37" s="283"/>
      <c r="Q37" s="283"/>
      <c r="R37" s="281"/>
      <c r="S37" s="283"/>
      <c r="T37" s="277"/>
      <c r="U37" s="260"/>
      <c r="V37" s="8"/>
      <c r="W37" s="8"/>
      <c r="X37" s="8"/>
      <c r="Y37" s="8"/>
      <c r="Z37" s="8"/>
    </row>
    <row r="38" ht="15.75" customHeight="1">
      <c r="A38" s="260"/>
      <c r="B38" s="275" t="str">
        <f>DPA!B55</f>
        <v>5.1.02.04.01.0001</v>
      </c>
      <c r="C38" s="275" t="str">
        <f>DPA!C55</f>
        <v>Belanja Perjalanan Dinas Biasa</v>
      </c>
      <c r="D38" s="275" t="str">
        <f>DPA!D55</f>
        <v/>
      </c>
      <c r="E38" s="275" t="str">
        <f>DPA!E55</f>
        <v/>
      </c>
      <c r="F38" s="281"/>
      <c r="G38" s="272"/>
      <c r="H38" s="282"/>
      <c r="I38" s="282"/>
      <c r="J38" s="282"/>
      <c r="K38" s="276">
        <f>DPA!S55</f>
        <v>31208000</v>
      </c>
      <c r="L38" s="281"/>
      <c r="M38" s="277">
        <f t="shared" si="5"/>
        <v>31208000</v>
      </c>
      <c r="N38" s="283"/>
      <c r="O38" s="283"/>
      <c r="P38" s="283"/>
      <c r="Q38" s="283"/>
      <c r="R38" s="281"/>
      <c r="S38" s="283"/>
      <c r="T38" s="277"/>
      <c r="U38" s="260"/>
      <c r="V38" s="8"/>
      <c r="W38" s="8"/>
      <c r="X38" s="8"/>
      <c r="Y38" s="8"/>
      <c r="Z38" s="8"/>
    </row>
    <row r="39" ht="15.75" customHeight="1">
      <c r="A39" s="260"/>
      <c r="B39" s="275"/>
      <c r="C39" s="275"/>
      <c r="D39" s="284" t="str">
        <f>DPA!D56</f>
        <v>-</v>
      </c>
      <c r="E39" s="285" t="str">
        <f>DPA!E56</f>
        <v>Penginapan Dalam Negeri di- D.K.I. JAKARTA
Spesifikasi: PEJABAT ESELON III / GOLONGAN IV</v>
      </c>
      <c r="F39" s="281"/>
      <c r="G39" s="272"/>
      <c r="H39" s="282"/>
      <c r="I39" s="282"/>
      <c r="J39" s="282"/>
      <c r="K39" s="276">
        <f>DPA!S56</f>
        <v>7936000</v>
      </c>
      <c r="L39" s="281"/>
      <c r="M39" s="277">
        <f t="shared" si="5"/>
        <v>7936000</v>
      </c>
      <c r="N39" s="283"/>
      <c r="O39" s="283"/>
      <c r="P39" s="283"/>
      <c r="Q39" s="283"/>
      <c r="R39" s="281"/>
      <c r="S39" s="283"/>
      <c r="T39" s="277"/>
      <c r="U39" s="260"/>
      <c r="V39" s="8"/>
      <c r="W39" s="8"/>
      <c r="X39" s="8"/>
      <c r="Y39" s="8"/>
      <c r="Z39" s="8"/>
    </row>
    <row r="40" ht="15.75" customHeight="1">
      <c r="A40" s="274"/>
      <c r="B40" s="275"/>
      <c r="C40" s="275"/>
      <c r="D40" s="284" t="str">
        <f>DPA!D57</f>
        <v>-</v>
      </c>
      <c r="E40" s="285" t="str">
        <f>DPA!E57</f>
        <v>Taxi dari/ke Bandara - Perjalanan Dinas Dalam Negeri
Spesifikasi: BALI</v>
      </c>
      <c r="F40" s="277"/>
      <c r="G40" s="271"/>
      <c r="H40" s="280"/>
      <c r="I40" s="280"/>
      <c r="J40" s="280"/>
      <c r="K40" s="276">
        <f>DPA!S57</f>
        <v>1816000</v>
      </c>
      <c r="L40" s="277"/>
      <c r="M40" s="277">
        <f t="shared" si="5"/>
        <v>1816000</v>
      </c>
      <c r="N40" s="278"/>
      <c r="O40" s="278"/>
      <c r="P40" s="278"/>
      <c r="Q40" s="278"/>
      <c r="R40" s="277"/>
      <c r="S40" s="278"/>
      <c r="T40" s="277"/>
      <c r="U40" s="274"/>
      <c r="V40" s="72"/>
      <c r="W40" s="72"/>
      <c r="X40" s="72"/>
      <c r="Y40" s="72"/>
      <c r="Z40" s="72"/>
    </row>
    <row r="41" ht="15.75" customHeight="1">
      <c r="A41" s="260"/>
      <c r="B41" s="275"/>
      <c r="C41" s="275"/>
      <c r="D41" s="284" t="str">
        <f>DPA!D58</f>
        <v>-</v>
      </c>
      <c r="E41" s="285" t="str">
        <f>DPA!E58</f>
        <v>Taxi dari/ke Bandara - Perjalanan Dinas Dalam Negeri
Spesifikasi: D.K.I. JAKARTA</v>
      </c>
      <c r="F41" s="281"/>
      <c r="G41" s="272"/>
      <c r="H41" s="282"/>
      <c r="I41" s="282"/>
      <c r="J41" s="282"/>
      <c r="K41" s="276">
        <f>DPA!S58</f>
        <v>2048000</v>
      </c>
      <c r="L41" s="277"/>
      <c r="M41" s="277">
        <f t="shared" si="5"/>
        <v>2048000</v>
      </c>
      <c r="N41" s="278"/>
      <c r="O41" s="278"/>
      <c r="P41" s="278"/>
      <c r="Q41" s="278"/>
      <c r="R41" s="277"/>
      <c r="S41" s="278"/>
      <c r="T41" s="277"/>
      <c r="U41" s="260"/>
      <c r="V41" s="8"/>
      <c r="W41" s="8"/>
      <c r="X41" s="8"/>
      <c r="Y41" s="8"/>
      <c r="Z41" s="8"/>
    </row>
    <row r="42" ht="15.75" customHeight="1">
      <c r="A42" s="260"/>
      <c r="B42" s="275"/>
      <c r="C42" s="275"/>
      <c r="D42" s="284" t="str">
        <f>DPA!D59</f>
        <v>-</v>
      </c>
      <c r="E42" s="285" t="str">
        <f>DPA!E59</f>
        <v>Satuan Biaya Tiket Dalam Negeri
Spesifikasi : Denpasar - Jakarta</v>
      </c>
      <c r="F42" s="281"/>
      <c r="G42" s="272"/>
      <c r="H42" s="282"/>
      <c r="I42" s="282"/>
      <c r="J42" s="282"/>
      <c r="K42" s="276">
        <f>DPA!S59</f>
        <v>13048000</v>
      </c>
      <c r="L42" s="281"/>
      <c r="M42" s="277">
        <f t="shared" si="5"/>
        <v>13048000</v>
      </c>
      <c r="N42" s="283"/>
      <c r="O42" s="283"/>
      <c r="P42" s="283"/>
      <c r="Q42" s="283"/>
      <c r="R42" s="281"/>
      <c r="S42" s="283"/>
      <c r="T42" s="277"/>
      <c r="U42" s="260"/>
      <c r="V42" s="8"/>
      <c r="W42" s="8"/>
      <c r="X42" s="8"/>
      <c r="Y42" s="8"/>
      <c r="Z42" s="8"/>
    </row>
    <row r="43" ht="15.75" customHeight="1">
      <c r="A43" s="260"/>
      <c r="B43" s="275"/>
      <c r="C43" s="275"/>
      <c r="D43" s="284" t="str">
        <f>DPA!D60</f>
        <v>-</v>
      </c>
      <c r="E43" s="285" t="str">
        <f>DPA!E60</f>
        <v>Uang Harian Perjalanan Dinas Luar Kota/Luar Daerah
Spesifikasi: D.K.I. JAKARTA</v>
      </c>
      <c r="F43" s="281"/>
      <c r="G43" s="272"/>
      <c r="H43" s="282"/>
      <c r="I43" s="282"/>
      <c r="J43" s="282"/>
      <c r="K43" s="276">
        <f>DPA!S60</f>
        <v>6360000</v>
      </c>
      <c r="L43" s="281"/>
      <c r="M43" s="277">
        <f t="shared" si="5"/>
        <v>6360000</v>
      </c>
      <c r="N43" s="283"/>
      <c r="O43" s="283"/>
      <c r="P43" s="283"/>
      <c r="Q43" s="283"/>
      <c r="R43" s="281"/>
      <c r="S43" s="283"/>
      <c r="T43" s="277"/>
      <c r="U43" s="260"/>
      <c r="V43" s="8"/>
      <c r="W43" s="8"/>
      <c r="X43" s="8"/>
      <c r="Y43" s="8"/>
      <c r="Z43" s="8"/>
    </row>
    <row r="44" ht="15.75" customHeight="1">
      <c r="A44" s="260"/>
      <c r="B44" s="275"/>
      <c r="C44" s="275"/>
      <c r="D44" s="275"/>
      <c r="E44" s="275"/>
      <c r="F44" s="281"/>
      <c r="G44" s="272"/>
      <c r="H44" s="282"/>
      <c r="I44" s="282"/>
      <c r="J44" s="282"/>
      <c r="K44" s="276"/>
      <c r="L44" s="277"/>
      <c r="M44" s="277"/>
      <c r="N44" s="278"/>
      <c r="O44" s="278"/>
      <c r="P44" s="278"/>
      <c r="Q44" s="278"/>
      <c r="R44" s="277"/>
      <c r="S44" s="278"/>
      <c r="T44" s="277"/>
      <c r="U44" s="260"/>
      <c r="V44" s="8"/>
      <c r="W44" s="8"/>
      <c r="X44" s="8"/>
      <c r="Y44" s="8"/>
      <c r="Z44" s="8"/>
    </row>
    <row r="45" ht="15.75" customHeight="1">
      <c r="A45" s="260"/>
      <c r="B45" s="275" t="str">
        <f>DPA!B62</f>
        <v>5.2 </v>
      </c>
      <c r="C45" s="275" t="str">
        <f>DPA!C62</f>
        <v>Belanja Modal</v>
      </c>
      <c r="D45" s="275"/>
      <c r="E45" s="275"/>
      <c r="F45" s="281"/>
      <c r="G45" s="272"/>
      <c r="H45" s="282"/>
      <c r="I45" s="282"/>
      <c r="J45" s="282"/>
      <c r="K45" s="276">
        <f>DPA!S62</f>
        <v>61372400</v>
      </c>
      <c r="L45" s="281"/>
      <c r="M45" s="277">
        <f t="shared" ref="M45:M54" si="6">K45</f>
        <v>61372400</v>
      </c>
      <c r="N45" s="283"/>
      <c r="O45" s="283"/>
      <c r="P45" s="283"/>
      <c r="Q45" s="283"/>
      <c r="R45" s="281"/>
      <c r="S45" s="283"/>
      <c r="T45" s="277"/>
      <c r="U45" s="260"/>
      <c r="V45" s="8"/>
      <c r="W45" s="8"/>
      <c r="X45" s="8"/>
      <c r="Y45" s="8"/>
      <c r="Z45" s="8"/>
    </row>
    <row r="46" ht="15.75" customHeight="1">
      <c r="A46" s="260"/>
      <c r="B46" s="275" t="str">
        <f>DPA!B63</f>
        <v>5.2.02</v>
      </c>
      <c r="C46" s="275" t="str">
        <f>DPA!C63</f>
        <v>Belanja Modal Perapatan dan Mesin</v>
      </c>
      <c r="D46" s="275"/>
      <c r="E46" s="275"/>
      <c r="F46" s="281"/>
      <c r="G46" s="272"/>
      <c r="H46" s="282"/>
      <c r="I46" s="282"/>
      <c r="J46" s="282"/>
      <c r="K46" s="276">
        <f>DPA!S63</f>
        <v>61372400</v>
      </c>
      <c r="L46" s="281"/>
      <c r="M46" s="277">
        <f t="shared" si="6"/>
        <v>61372400</v>
      </c>
      <c r="N46" s="283"/>
      <c r="O46" s="283"/>
      <c r="P46" s="283"/>
      <c r="Q46" s="283"/>
      <c r="R46" s="281"/>
      <c r="S46" s="283"/>
      <c r="T46" s="277"/>
      <c r="U46" s="260"/>
      <c r="V46" s="8"/>
      <c r="W46" s="8"/>
      <c r="X46" s="8"/>
      <c r="Y46" s="8"/>
      <c r="Z46" s="8"/>
    </row>
    <row r="47" ht="15.75" customHeight="1">
      <c r="A47" s="260"/>
      <c r="B47" s="275" t="str">
        <f>DPA!B64</f>
        <v>5.2.02.05</v>
      </c>
      <c r="C47" s="275" t="str">
        <f>DPA!C64</f>
        <v>Belanja Modal Alat Kantor dan Rumah Tangga</v>
      </c>
      <c r="D47" s="275"/>
      <c r="E47" s="275"/>
      <c r="F47" s="281"/>
      <c r="G47" s="272"/>
      <c r="H47" s="282"/>
      <c r="I47" s="282"/>
      <c r="J47" s="282"/>
      <c r="K47" s="276">
        <f>DPA!S64</f>
        <v>61372400</v>
      </c>
      <c r="L47" s="281"/>
      <c r="M47" s="277">
        <f t="shared" si="6"/>
        <v>61372400</v>
      </c>
      <c r="N47" s="283"/>
      <c r="O47" s="283"/>
      <c r="P47" s="283"/>
      <c r="Q47" s="283"/>
      <c r="R47" s="281"/>
      <c r="S47" s="283"/>
      <c r="T47" s="277"/>
      <c r="U47" s="260"/>
      <c r="V47" s="8"/>
      <c r="W47" s="8"/>
      <c r="X47" s="8"/>
      <c r="Y47" s="8"/>
      <c r="Z47" s="8"/>
    </row>
    <row r="48" ht="15.75" customHeight="1">
      <c r="A48" s="260"/>
      <c r="B48" s="275" t="str">
        <f>DPA!B65</f>
        <v>5.2.02.05.001</v>
      </c>
      <c r="C48" s="275" t="str">
        <f>DPA!C65</f>
        <v>Belanja Modal Alat Kantor</v>
      </c>
      <c r="D48" s="275"/>
      <c r="E48" s="275"/>
      <c r="F48" s="281"/>
      <c r="G48" s="272"/>
      <c r="H48" s="282"/>
      <c r="I48" s="282"/>
      <c r="J48" s="282"/>
      <c r="K48" s="276">
        <f>DPA!S65</f>
        <v>34347600</v>
      </c>
      <c r="L48" s="281"/>
      <c r="M48" s="277">
        <f t="shared" si="6"/>
        <v>34347600</v>
      </c>
      <c r="N48" s="283"/>
      <c r="O48" s="283"/>
      <c r="P48" s="283"/>
      <c r="Q48" s="283"/>
      <c r="R48" s="281"/>
      <c r="S48" s="283"/>
      <c r="T48" s="277"/>
      <c r="U48" s="260"/>
      <c r="V48" s="8"/>
      <c r="W48" s="8"/>
      <c r="X48" s="8"/>
      <c r="Y48" s="8"/>
      <c r="Z48" s="8"/>
    </row>
    <row r="49" ht="15.75" customHeight="1">
      <c r="A49" s="260"/>
      <c r="B49" s="275" t="str">
        <f>DPA!B66</f>
        <v>5.2.02.05.001.00005</v>
      </c>
      <c r="C49" s="275" t="str">
        <f>DPA!C66</f>
        <v>Belanja Modal Alat Kantor Lainnya</v>
      </c>
      <c r="D49" s="275"/>
      <c r="E49" s="275"/>
      <c r="F49" s="281"/>
      <c r="G49" s="272"/>
      <c r="H49" s="282"/>
      <c r="I49" s="282"/>
      <c r="J49" s="282"/>
      <c r="K49" s="276">
        <f>DPA!S66</f>
        <v>34347600</v>
      </c>
      <c r="L49" s="281"/>
      <c r="M49" s="277">
        <f t="shared" si="6"/>
        <v>34347600</v>
      </c>
      <c r="N49" s="283"/>
      <c r="O49" s="283"/>
      <c r="P49" s="283"/>
      <c r="Q49" s="283"/>
      <c r="R49" s="281"/>
      <c r="S49" s="283"/>
      <c r="T49" s="277"/>
      <c r="U49" s="260"/>
      <c r="V49" s="8"/>
      <c r="W49" s="8"/>
      <c r="X49" s="8"/>
      <c r="Y49" s="8"/>
      <c r="Z49" s="8"/>
    </row>
    <row r="50" ht="15.75" customHeight="1">
      <c r="A50" s="260"/>
      <c r="B50" s="275" t="str">
        <f>DPA!B67</f>
        <v/>
      </c>
      <c r="C50" s="275" t="str">
        <f>DPA!C67</f>
        <v/>
      </c>
      <c r="D50" s="275"/>
      <c r="E50" s="275"/>
      <c r="F50" s="281"/>
      <c r="G50" s="272"/>
      <c r="H50" s="282"/>
      <c r="I50" s="282"/>
      <c r="J50" s="282"/>
      <c r="K50" s="276">
        <f>DPA!S67</f>
        <v>34347600</v>
      </c>
      <c r="L50" s="281"/>
      <c r="M50" s="277">
        <f t="shared" si="6"/>
        <v>34347600</v>
      </c>
      <c r="N50" s="283"/>
      <c r="O50" s="283"/>
      <c r="P50" s="283"/>
      <c r="Q50" s="283"/>
      <c r="R50" s="281"/>
      <c r="S50" s="283"/>
      <c r="T50" s="277"/>
      <c r="U50" s="260"/>
      <c r="V50" s="8"/>
      <c r="W50" s="8"/>
      <c r="X50" s="8"/>
      <c r="Y50" s="8"/>
      <c r="Z50" s="8"/>
    </row>
    <row r="51" ht="15.75" customHeight="1">
      <c r="A51" s="260"/>
      <c r="B51" s="275" t="str">
        <f>DPA!B68</f>
        <v/>
      </c>
      <c r="C51" s="275" t="str">
        <f>DPA!C68</f>
        <v/>
      </c>
      <c r="D51" s="275"/>
      <c r="E51" s="275"/>
      <c r="F51" s="281"/>
      <c r="G51" s="272"/>
      <c r="H51" s="282"/>
      <c r="I51" s="282"/>
      <c r="J51" s="282"/>
      <c r="K51" s="276" t="str">
        <f>DPA!S68</f>
        <v/>
      </c>
      <c r="L51" s="281"/>
      <c r="M51" s="277" t="str">
        <f t="shared" si="6"/>
        <v/>
      </c>
      <c r="N51" s="283"/>
      <c r="O51" s="283"/>
      <c r="P51" s="283"/>
      <c r="Q51" s="283"/>
      <c r="R51" s="281"/>
      <c r="S51" s="283"/>
      <c r="T51" s="277"/>
      <c r="U51" s="260"/>
      <c r="V51" s="8"/>
      <c r="W51" s="8"/>
      <c r="X51" s="8"/>
      <c r="Y51" s="8"/>
      <c r="Z51" s="8"/>
    </row>
    <row r="52" ht="15.75" customHeight="1">
      <c r="A52" s="260"/>
      <c r="B52" s="275" t="str">
        <f>DPA!B69</f>
        <v>5.2.02.05.002</v>
      </c>
      <c r="C52" s="275" t="str">
        <f>DPA!C69</f>
        <v>Belanja Modal Alat Rumah Tangga</v>
      </c>
      <c r="D52" s="275"/>
      <c r="E52" s="275"/>
      <c r="F52" s="281"/>
      <c r="G52" s="272"/>
      <c r="H52" s="282"/>
      <c r="I52" s="282"/>
      <c r="J52" s="282"/>
      <c r="K52" s="276">
        <f>DPA!S69</f>
        <v>27024800</v>
      </c>
      <c r="L52" s="281"/>
      <c r="M52" s="277">
        <f t="shared" si="6"/>
        <v>27024800</v>
      </c>
      <c r="N52" s="283"/>
      <c r="O52" s="283"/>
      <c r="P52" s="283"/>
      <c r="Q52" s="283"/>
      <c r="R52" s="281"/>
      <c r="S52" s="283"/>
      <c r="T52" s="277"/>
      <c r="U52" s="260"/>
      <c r="V52" s="8"/>
      <c r="W52" s="8"/>
      <c r="X52" s="8"/>
      <c r="Y52" s="8"/>
      <c r="Z52" s="8"/>
    </row>
    <row r="53" ht="15.75" customHeight="1">
      <c r="A53" s="260"/>
      <c r="B53" s="275" t="str">
        <f>DPA!B70</f>
        <v>5.2.02.05.002.000
06</v>
      </c>
      <c r="C53" s="275" t="str">
        <f>DPA!C70</f>
        <v>Belanja Modal Alat Rumah Tangga Lainnya (Home Use)</v>
      </c>
      <c r="D53" s="275"/>
      <c r="E53" s="275"/>
      <c r="F53" s="281"/>
      <c r="G53" s="272"/>
      <c r="H53" s="282"/>
      <c r="I53" s="282"/>
      <c r="J53" s="282"/>
      <c r="K53" s="276">
        <f>DPA!S70</f>
        <v>27024800</v>
      </c>
      <c r="L53" s="281"/>
      <c r="M53" s="277">
        <f t="shared" si="6"/>
        <v>27024800</v>
      </c>
      <c r="N53" s="283"/>
      <c r="O53" s="283"/>
      <c r="P53" s="283"/>
      <c r="Q53" s="283"/>
      <c r="R53" s="281"/>
      <c r="S53" s="283"/>
      <c r="T53" s="277"/>
      <c r="U53" s="260"/>
      <c r="V53" s="8"/>
      <c r="W53" s="8"/>
      <c r="X53" s="8"/>
      <c r="Y53" s="8"/>
      <c r="Z53" s="8"/>
    </row>
    <row r="54" ht="15.75" customHeight="1">
      <c r="A54" s="260"/>
      <c r="B54" s="275"/>
      <c r="C54" s="275"/>
      <c r="D54" s="284" t="str">
        <f>DPA!D71</f>
        <v>-</v>
      </c>
      <c r="E54" s="285" t="str">
        <f>DPA!E71</f>
        <v>Televisi
Spesifikasi : Smart TV 70 Inch min. UHD 4K,
Garansi Min. 1 Tahun</v>
      </c>
      <c r="F54" s="281"/>
      <c r="G54" s="272"/>
      <c r="H54" s="282"/>
      <c r="I54" s="282"/>
      <c r="J54" s="282"/>
      <c r="K54" s="276">
        <f>DPA!S71</f>
        <v>27024800</v>
      </c>
      <c r="L54" s="277"/>
      <c r="M54" s="277">
        <f t="shared" si="6"/>
        <v>27024800</v>
      </c>
      <c r="N54" s="278"/>
      <c r="O54" s="278"/>
      <c r="P54" s="278"/>
      <c r="Q54" s="278"/>
      <c r="R54" s="277"/>
      <c r="S54" s="278"/>
      <c r="T54" s="277"/>
      <c r="U54" s="260"/>
      <c r="V54" s="8"/>
      <c r="W54" s="8"/>
      <c r="X54" s="8"/>
      <c r="Y54" s="8"/>
      <c r="Z54" s="8"/>
    </row>
    <row r="55" ht="15.75" customHeight="1">
      <c r="A55" s="260"/>
      <c r="B55" s="275"/>
      <c r="C55" s="275"/>
      <c r="D55" s="275"/>
      <c r="E55" s="275"/>
      <c r="F55" s="281"/>
      <c r="G55" s="272"/>
      <c r="H55" s="282"/>
      <c r="I55" s="282"/>
      <c r="J55" s="282"/>
      <c r="K55" s="276"/>
      <c r="L55" s="281"/>
      <c r="M55" s="277"/>
      <c r="N55" s="283"/>
      <c r="O55" s="283"/>
      <c r="P55" s="283"/>
      <c r="Q55" s="283"/>
      <c r="R55" s="281"/>
      <c r="S55" s="283"/>
      <c r="T55" s="277"/>
      <c r="U55" s="260"/>
      <c r="V55" s="8"/>
      <c r="W55" s="8"/>
      <c r="X55" s="8"/>
      <c r="Y55" s="8"/>
      <c r="Z55" s="8"/>
    </row>
    <row r="56" ht="15.75" customHeight="1">
      <c r="A56" s="260"/>
      <c r="B56" s="260"/>
      <c r="C56" s="260"/>
      <c r="D56" s="260"/>
      <c r="E56" s="8"/>
      <c r="F56" s="260"/>
      <c r="G56" s="260"/>
      <c r="H56" s="260"/>
      <c r="I56" s="260"/>
      <c r="J56" s="260"/>
      <c r="K56" s="270"/>
      <c r="L56" s="270"/>
      <c r="M56" s="270"/>
      <c r="N56" s="270"/>
      <c r="O56" s="260"/>
      <c r="P56" s="270"/>
      <c r="Q56" s="270"/>
      <c r="R56" s="270"/>
      <c r="S56" s="270"/>
      <c r="T56" s="270"/>
      <c r="U56" s="260"/>
      <c r="V56" s="8"/>
      <c r="W56" s="8"/>
      <c r="X56" s="8"/>
      <c r="Y56" s="8"/>
      <c r="Z56" s="8"/>
    </row>
    <row r="57" ht="15.75" customHeight="1">
      <c r="A57" s="260"/>
      <c r="B57" s="260"/>
      <c r="C57" s="260"/>
      <c r="D57" s="260"/>
      <c r="E57" s="8"/>
      <c r="F57" s="260"/>
      <c r="G57" s="260"/>
      <c r="H57" s="260"/>
      <c r="I57" s="260"/>
      <c r="J57" s="260"/>
      <c r="K57" s="270"/>
      <c r="L57" s="270"/>
      <c r="M57" s="270"/>
      <c r="N57" s="270"/>
      <c r="O57" s="260" t="s">
        <v>114</v>
      </c>
      <c r="P57" s="270"/>
      <c r="Q57" s="270"/>
      <c r="R57" s="270"/>
      <c r="S57" s="270"/>
      <c r="T57" s="270"/>
      <c r="U57" s="260"/>
      <c r="V57" s="8"/>
      <c r="W57" s="8"/>
      <c r="X57" s="8"/>
      <c r="Y57" s="8"/>
      <c r="Z57" s="8"/>
    </row>
    <row r="58" ht="15.75" customHeight="1">
      <c r="A58" s="260"/>
      <c r="B58" s="260"/>
      <c r="C58" s="260"/>
      <c r="D58" s="260"/>
      <c r="E58" s="8"/>
      <c r="F58" s="260"/>
      <c r="G58" s="260"/>
      <c r="H58" s="260"/>
      <c r="I58" s="260"/>
      <c r="J58" s="260"/>
      <c r="K58" s="270"/>
      <c r="L58" s="270"/>
      <c r="M58" s="270"/>
      <c r="N58" s="270"/>
      <c r="O58" s="260"/>
      <c r="P58" s="270"/>
      <c r="Q58" s="270"/>
      <c r="R58" s="270"/>
      <c r="S58" s="270"/>
      <c r="T58" s="270"/>
      <c r="U58" s="260"/>
      <c r="V58" s="8"/>
      <c r="W58" s="8"/>
      <c r="X58" s="8"/>
      <c r="Y58" s="8"/>
      <c r="Z58" s="8"/>
    </row>
    <row r="59" ht="15.75" customHeight="1">
      <c r="A59" s="260"/>
      <c r="B59" s="260"/>
      <c r="C59" s="260"/>
      <c r="D59" s="260"/>
      <c r="E59" s="260" t="s">
        <v>168</v>
      </c>
      <c r="F59" s="260"/>
      <c r="G59" s="260"/>
      <c r="H59" s="260"/>
      <c r="I59" s="260"/>
      <c r="J59" s="260"/>
      <c r="K59" s="270"/>
      <c r="L59" s="270"/>
      <c r="M59" s="270"/>
      <c r="N59" s="270"/>
      <c r="O59" s="260" t="s">
        <v>217</v>
      </c>
      <c r="P59" s="270"/>
      <c r="Q59" s="270"/>
      <c r="R59" s="270"/>
      <c r="S59" s="270"/>
      <c r="T59" s="270"/>
      <c r="U59" s="260"/>
      <c r="V59" s="8"/>
      <c r="W59" s="8"/>
      <c r="X59" s="8"/>
      <c r="Y59" s="8"/>
      <c r="Z59" s="8"/>
    </row>
    <row r="60" ht="15.75" customHeight="1">
      <c r="A60" s="260"/>
      <c r="B60" s="260"/>
      <c r="C60" s="260"/>
      <c r="D60" s="260"/>
      <c r="E60" s="256" t="s">
        <v>170</v>
      </c>
      <c r="F60" s="260"/>
      <c r="G60" s="260"/>
      <c r="H60" s="260"/>
      <c r="I60" s="260"/>
      <c r="J60" s="260"/>
      <c r="K60" s="270"/>
      <c r="L60" s="270"/>
      <c r="M60" s="270"/>
      <c r="N60" s="270"/>
      <c r="O60" s="260" t="str">
        <f>DPA!N9</f>
        <v/>
      </c>
      <c r="P60" s="270"/>
      <c r="Q60" s="270"/>
      <c r="R60" s="270"/>
      <c r="S60" s="270"/>
      <c r="T60" s="270"/>
      <c r="U60" s="260"/>
      <c r="V60" s="8"/>
      <c r="W60" s="8"/>
      <c r="X60" s="8"/>
      <c r="Y60" s="8"/>
      <c r="Z60" s="8"/>
    </row>
    <row r="61" ht="15.75" customHeight="1">
      <c r="A61" s="260"/>
      <c r="B61" s="260"/>
      <c r="C61" s="260"/>
      <c r="D61" s="260"/>
      <c r="E61" s="256" t="s">
        <v>171</v>
      </c>
      <c r="F61" s="260"/>
      <c r="G61" s="260"/>
      <c r="H61" s="260"/>
      <c r="I61" s="260"/>
      <c r="J61" s="260"/>
      <c r="K61" s="270"/>
      <c r="L61" s="270"/>
      <c r="M61" s="270"/>
      <c r="N61" s="270"/>
      <c r="O61" s="260"/>
      <c r="P61" s="270"/>
      <c r="Q61" s="270"/>
      <c r="R61" s="270"/>
      <c r="S61" s="270"/>
      <c r="T61" s="270"/>
      <c r="U61" s="260"/>
      <c r="V61" s="8"/>
      <c r="W61" s="8"/>
      <c r="X61" s="8"/>
      <c r="Y61" s="8"/>
      <c r="Z61" s="8"/>
    </row>
    <row r="62" ht="15.75" customHeight="1">
      <c r="A62" s="260"/>
      <c r="B62" s="260"/>
      <c r="C62" s="260"/>
      <c r="D62" s="260"/>
      <c r="E62" s="8"/>
      <c r="F62" s="260"/>
      <c r="G62" s="260"/>
      <c r="H62" s="260"/>
      <c r="I62" s="260"/>
      <c r="J62" s="260"/>
      <c r="K62" s="270"/>
      <c r="L62" s="270"/>
      <c r="M62" s="270"/>
      <c r="N62" s="270"/>
      <c r="O62" s="260"/>
      <c r="P62" s="270"/>
      <c r="Q62" s="270"/>
      <c r="R62" s="270"/>
      <c r="S62" s="270"/>
      <c r="T62" s="270"/>
      <c r="U62" s="260"/>
      <c r="V62" s="8"/>
      <c r="W62" s="8"/>
      <c r="X62" s="8"/>
      <c r="Y62" s="8"/>
      <c r="Z62" s="8"/>
    </row>
    <row r="63" ht="15.75" customHeight="1">
      <c r="A63" s="260"/>
      <c r="B63" s="260"/>
      <c r="C63" s="260"/>
      <c r="D63" s="260"/>
      <c r="E63" s="8"/>
      <c r="F63" s="260"/>
      <c r="G63" s="260"/>
      <c r="H63" s="260"/>
      <c r="I63" s="260"/>
      <c r="J63" s="260"/>
      <c r="K63" s="270"/>
      <c r="L63" s="270"/>
      <c r="M63" s="270"/>
      <c r="N63" s="270"/>
      <c r="O63" s="260"/>
      <c r="P63" s="270"/>
      <c r="Q63" s="270"/>
      <c r="R63" s="270"/>
      <c r="S63" s="270"/>
      <c r="T63" s="270"/>
      <c r="U63" s="260"/>
      <c r="V63" s="8"/>
      <c r="W63" s="8"/>
      <c r="X63" s="8"/>
      <c r="Y63" s="8"/>
      <c r="Z63" s="8"/>
    </row>
    <row r="64" ht="15.75" customHeight="1">
      <c r="A64" s="260"/>
      <c r="B64" s="260"/>
      <c r="C64" s="260"/>
      <c r="D64" s="260"/>
      <c r="E64" s="8"/>
      <c r="F64" s="260"/>
      <c r="G64" s="260"/>
      <c r="H64" s="260"/>
      <c r="I64" s="260"/>
      <c r="J64" s="260"/>
      <c r="K64" s="270"/>
      <c r="L64" s="270"/>
      <c r="M64" s="270"/>
      <c r="N64" s="270"/>
      <c r="O64" s="260"/>
      <c r="P64" s="270"/>
      <c r="Q64" s="270"/>
      <c r="R64" s="270"/>
      <c r="S64" s="270"/>
      <c r="T64" s="270"/>
      <c r="U64" s="260"/>
      <c r="V64" s="8"/>
      <c r="W64" s="8"/>
      <c r="X64" s="8"/>
      <c r="Y64" s="8"/>
      <c r="Z64" s="8"/>
    </row>
    <row r="65" ht="15.75" customHeight="1">
      <c r="A65" s="260"/>
      <c r="B65" s="260"/>
      <c r="C65" s="260"/>
      <c r="D65" s="260"/>
      <c r="E65" s="258" t="s">
        <v>123</v>
      </c>
      <c r="F65" s="260"/>
      <c r="G65" s="260"/>
      <c r="H65" s="260"/>
      <c r="I65" s="260"/>
      <c r="J65" s="260"/>
      <c r="K65" s="270"/>
      <c r="L65" s="270"/>
      <c r="M65" s="270"/>
      <c r="N65" s="270"/>
      <c r="O65" s="286"/>
      <c r="P65" s="270"/>
      <c r="Q65" s="270"/>
      <c r="R65" s="270"/>
      <c r="S65" s="270"/>
      <c r="T65" s="270"/>
      <c r="U65" s="260"/>
      <c r="V65" s="8"/>
      <c r="W65" s="8"/>
      <c r="X65" s="8"/>
      <c r="Y65" s="8"/>
      <c r="Z65" s="8"/>
    </row>
    <row r="66" ht="15.75" customHeight="1">
      <c r="A66" s="260"/>
      <c r="B66" s="260"/>
      <c r="C66" s="260"/>
      <c r="D66" s="260"/>
      <c r="E66" s="256" t="s">
        <v>218</v>
      </c>
      <c r="F66" s="8"/>
      <c r="G66" s="260"/>
      <c r="H66" s="260"/>
      <c r="I66" s="260"/>
      <c r="J66" s="260"/>
      <c r="K66" s="270"/>
      <c r="L66" s="270"/>
      <c r="M66" s="270"/>
      <c r="N66" s="270"/>
      <c r="O66" s="260"/>
      <c r="P66" s="270"/>
      <c r="Q66" s="270"/>
      <c r="R66" s="270"/>
      <c r="S66" s="270"/>
      <c r="T66" s="270"/>
      <c r="U66" s="260"/>
      <c r="V66" s="8"/>
      <c r="W66" s="8"/>
      <c r="X66" s="8"/>
      <c r="Y66" s="8"/>
      <c r="Z66" s="8"/>
    </row>
    <row r="67" ht="15.75" customHeight="1">
      <c r="A67" s="260"/>
      <c r="B67" s="260"/>
      <c r="C67" s="260"/>
      <c r="D67" s="260"/>
      <c r="E67" s="256" t="s">
        <v>125</v>
      </c>
      <c r="F67" s="260"/>
      <c r="G67" s="260"/>
      <c r="H67" s="260"/>
      <c r="I67" s="260"/>
      <c r="J67" s="260"/>
      <c r="K67" s="270"/>
      <c r="L67" s="270"/>
      <c r="M67" s="270"/>
      <c r="N67" s="270"/>
      <c r="O67" s="260"/>
      <c r="P67" s="270"/>
      <c r="Q67" s="270"/>
      <c r="R67" s="270"/>
      <c r="S67" s="270"/>
      <c r="T67" s="270"/>
      <c r="U67" s="260"/>
      <c r="V67" s="8"/>
      <c r="W67" s="8"/>
      <c r="X67" s="8"/>
      <c r="Y67" s="8"/>
      <c r="Z67" s="8"/>
    </row>
    <row r="68" ht="15.75" customHeight="1">
      <c r="A68" s="260"/>
      <c r="B68" s="260"/>
      <c r="C68" s="260"/>
      <c r="D68" s="260"/>
      <c r="E68" s="260"/>
      <c r="F68" s="260"/>
      <c r="G68" s="260"/>
      <c r="H68" s="260"/>
      <c r="I68" s="260"/>
      <c r="J68" s="26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60"/>
      <c r="V68" s="8"/>
      <c r="W68" s="8"/>
      <c r="X68" s="8"/>
      <c r="Y68" s="8"/>
      <c r="Z68" s="8"/>
    </row>
    <row r="69" ht="15.75" customHeight="1">
      <c r="A69" s="260"/>
      <c r="B69" s="260"/>
      <c r="C69" s="260"/>
      <c r="D69" s="260"/>
      <c r="E69" s="260"/>
      <c r="F69" s="260"/>
      <c r="G69" s="260"/>
      <c r="H69" s="260"/>
      <c r="I69" s="260"/>
      <c r="J69" s="26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60"/>
      <c r="V69" s="8"/>
      <c r="W69" s="8"/>
      <c r="X69" s="8"/>
      <c r="Y69" s="8"/>
      <c r="Z69" s="8"/>
    </row>
    <row r="70" ht="15.7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8"/>
      <c r="W70" s="8"/>
      <c r="X70" s="8"/>
      <c r="Y70" s="8"/>
      <c r="Z70" s="8"/>
    </row>
    <row r="71" ht="15.7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8"/>
      <c r="W71" s="8"/>
      <c r="X71" s="8"/>
      <c r="Y71" s="8"/>
      <c r="Z71" s="8"/>
    </row>
    <row r="72" ht="15.7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8"/>
      <c r="W72" s="8"/>
      <c r="X72" s="8"/>
      <c r="Y72" s="8"/>
      <c r="Z72" s="8"/>
    </row>
    <row r="73" ht="15.7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8"/>
      <c r="W73" s="8"/>
      <c r="X73" s="8"/>
      <c r="Y73" s="8"/>
      <c r="Z73" s="8"/>
    </row>
    <row r="74" ht="15.7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8"/>
      <c r="W74" s="8"/>
      <c r="X74" s="8"/>
      <c r="Y74" s="8"/>
      <c r="Z74" s="8"/>
    </row>
    <row r="75" ht="15.7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8"/>
      <c r="W75" s="8"/>
      <c r="X75" s="8"/>
      <c r="Y75" s="8"/>
      <c r="Z75" s="8"/>
    </row>
    <row r="76" ht="15.7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70"/>
      <c r="N76" s="260"/>
      <c r="O76" s="260"/>
      <c r="P76" s="260"/>
      <c r="Q76" s="260"/>
      <c r="R76" s="260"/>
      <c r="S76" s="260"/>
      <c r="T76" s="260"/>
      <c r="U76" s="260"/>
      <c r="V76" s="8"/>
      <c r="W76" s="8"/>
      <c r="X76" s="8"/>
      <c r="Y76" s="8"/>
      <c r="Z76" s="8"/>
    </row>
    <row r="77" ht="15.7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8"/>
      <c r="W77" s="8"/>
      <c r="X77" s="8"/>
      <c r="Y77" s="8"/>
      <c r="Z77" s="8"/>
    </row>
    <row r="78" ht="15.7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8"/>
      <c r="W78" s="8"/>
      <c r="X78" s="8"/>
      <c r="Y78" s="8"/>
      <c r="Z78" s="8"/>
    </row>
    <row r="79" ht="15.7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8"/>
      <c r="W79" s="8"/>
      <c r="X79" s="8"/>
      <c r="Y79" s="8"/>
      <c r="Z79" s="8"/>
    </row>
    <row r="80" ht="15.7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8"/>
      <c r="W80" s="8"/>
      <c r="X80" s="8"/>
      <c r="Y80" s="8"/>
      <c r="Z80" s="8"/>
    </row>
    <row r="81" ht="15.7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70"/>
      <c r="M81" s="260"/>
      <c r="N81" s="260"/>
      <c r="O81" s="260"/>
      <c r="P81" s="260"/>
      <c r="Q81" s="260"/>
      <c r="R81" s="260"/>
      <c r="S81" s="260"/>
      <c r="T81" s="260"/>
      <c r="U81" s="260"/>
      <c r="V81" s="8"/>
      <c r="W81" s="8"/>
      <c r="X81" s="8"/>
      <c r="Y81" s="8"/>
      <c r="Z81" s="8"/>
    </row>
    <row r="82" ht="15.7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70"/>
      <c r="O82" s="260"/>
      <c r="P82" s="260"/>
      <c r="Q82" s="260"/>
      <c r="R82" s="260"/>
      <c r="S82" s="260"/>
      <c r="T82" s="260"/>
      <c r="U82" s="260"/>
      <c r="V82" s="8"/>
      <c r="W82" s="8"/>
      <c r="X82" s="8"/>
      <c r="Y82" s="8"/>
      <c r="Z82" s="8"/>
    </row>
    <row r="83" ht="15.7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8"/>
      <c r="W83" s="8"/>
      <c r="X83" s="8"/>
      <c r="Y83" s="8"/>
      <c r="Z83" s="8"/>
    </row>
    <row r="84" ht="15.7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8"/>
      <c r="W84" s="8"/>
      <c r="X84" s="8"/>
      <c r="Y84" s="8"/>
      <c r="Z84" s="8"/>
    </row>
    <row r="85" ht="15.7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8"/>
      <c r="W85" s="8"/>
      <c r="X85" s="8"/>
      <c r="Y85" s="8"/>
      <c r="Z85" s="8"/>
    </row>
    <row r="86" ht="15.7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8"/>
      <c r="W86" s="8"/>
      <c r="X86" s="8"/>
      <c r="Y86" s="8"/>
      <c r="Z86" s="8"/>
    </row>
    <row r="87" ht="15.7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8"/>
      <c r="W87" s="8"/>
      <c r="X87" s="8"/>
      <c r="Y87" s="8"/>
      <c r="Z87" s="8"/>
    </row>
    <row r="88" ht="15.7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8"/>
      <c r="W88" s="8"/>
      <c r="X88" s="8"/>
      <c r="Y88" s="8"/>
      <c r="Z88" s="8"/>
    </row>
    <row r="89" ht="15.7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8"/>
      <c r="W89" s="8"/>
      <c r="X89" s="8"/>
      <c r="Y89" s="8"/>
      <c r="Z89" s="8"/>
    </row>
    <row r="90" ht="15.7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8"/>
      <c r="W90" s="8"/>
      <c r="X90" s="8"/>
      <c r="Y90" s="8"/>
      <c r="Z90" s="8"/>
    </row>
    <row r="91" ht="15.7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8"/>
      <c r="W91" s="8"/>
      <c r="X91" s="8"/>
      <c r="Y91" s="8"/>
      <c r="Z91" s="8"/>
    </row>
    <row r="92" ht="15.7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8"/>
      <c r="W92" s="8"/>
      <c r="X92" s="8"/>
      <c r="Y92" s="8"/>
      <c r="Z92" s="8"/>
    </row>
    <row r="93" ht="15.7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8"/>
      <c r="W93" s="8"/>
      <c r="X93" s="8"/>
      <c r="Y93" s="8"/>
      <c r="Z93" s="8"/>
    </row>
    <row r="94" ht="15.7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8"/>
      <c r="W94" s="8"/>
      <c r="X94" s="8"/>
      <c r="Y94" s="8"/>
      <c r="Z94" s="8"/>
    </row>
    <row r="95" ht="15.7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8"/>
      <c r="W95" s="8"/>
      <c r="X95" s="8"/>
      <c r="Y95" s="8"/>
      <c r="Z95" s="8"/>
    </row>
    <row r="96" ht="15.7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8"/>
      <c r="W96" s="8"/>
      <c r="X96" s="8"/>
      <c r="Y96" s="8"/>
      <c r="Z96" s="8"/>
    </row>
    <row r="97" ht="15.7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8"/>
      <c r="W97" s="8"/>
      <c r="X97" s="8"/>
      <c r="Y97" s="8"/>
      <c r="Z97" s="8"/>
    </row>
    <row r="98" ht="15.7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8"/>
      <c r="W98" s="8"/>
      <c r="X98" s="8"/>
      <c r="Y98" s="8"/>
      <c r="Z98" s="8"/>
    </row>
    <row r="99" ht="15.7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8"/>
      <c r="W99" s="8"/>
      <c r="X99" s="8"/>
      <c r="Y99" s="8"/>
      <c r="Z99" s="8"/>
    </row>
    <row r="100" ht="15.7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8"/>
      <c r="W100" s="8"/>
      <c r="X100" s="8"/>
      <c r="Y100" s="8"/>
      <c r="Z100" s="8"/>
    </row>
    <row r="101" ht="15.7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8"/>
      <c r="W101" s="8"/>
      <c r="X101" s="8"/>
      <c r="Y101" s="8"/>
      <c r="Z101" s="8"/>
    </row>
    <row r="102" ht="15.7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8"/>
      <c r="W102" s="8"/>
      <c r="X102" s="8"/>
      <c r="Y102" s="8"/>
      <c r="Z102" s="8"/>
    </row>
    <row r="103" ht="15.7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8"/>
      <c r="W103" s="8"/>
      <c r="X103" s="8"/>
      <c r="Y103" s="8"/>
      <c r="Z103" s="8"/>
    </row>
    <row r="104" ht="15.7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8"/>
      <c r="W104" s="8"/>
      <c r="X104" s="8"/>
      <c r="Y104" s="8"/>
      <c r="Z104" s="8"/>
    </row>
    <row r="105" ht="15.7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8"/>
      <c r="W105" s="8"/>
      <c r="X105" s="8"/>
      <c r="Y105" s="8"/>
      <c r="Z105" s="8"/>
    </row>
    <row r="106" ht="15.7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8"/>
      <c r="W106" s="8"/>
      <c r="X106" s="8"/>
      <c r="Y106" s="8"/>
      <c r="Z106" s="8"/>
    </row>
    <row r="107" ht="15.7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8"/>
      <c r="W107" s="8"/>
      <c r="X107" s="8"/>
      <c r="Y107" s="8"/>
      <c r="Z107" s="8"/>
    </row>
    <row r="108" ht="15.7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8"/>
      <c r="W108" s="8"/>
      <c r="X108" s="8"/>
      <c r="Y108" s="8"/>
      <c r="Z108" s="8"/>
    </row>
    <row r="109" ht="15.7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8"/>
      <c r="W109" s="8"/>
      <c r="X109" s="8"/>
      <c r="Y109" s="8"/>
      <c r="Z109" s="8"/>
    </row>
    <row r="110" ht="15.7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8"/>
      <c r="W110" s="8"/>
      <c r="X110" s="8"/>
      <c r="Y110" s="8"/>
      <c r="Z110" s="8"/>
    </row>
    <row r="111" ht="15.7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8"/>
      <c r="W111" s="8"/>
      <c r="X111" s="8"/>
      <c r="Y111" s="8"/>
      <c r="Z111" s="8"/>
    </row>
    <row r="112" ht="15.7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8"/>
      <c r="W112" s="8"/>
      <c r="X112" s="8"/>
      <c r="Y112" s="8"/>
      <c r="Z112" s="8"/>
    </row>
    <row r="113" ht="15.7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8"/>
      <c r="W113" s="8"/>
      <c r="X113" s="8"/>
      <c r="Y113" s="8"/>
      <c r="Z113" s="8"/>
    </row>
    <row r="114" ht="15.7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8"/>
      <c r="W114" s="8"/>
      <c r="X114" s="8"/>
      <c r="Y114" s="8"/>
      <c r="Z114" s="8"/>
    </row>
    <row r="115" ht="15.7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8"/>
      <c r="W115" s="8"/>
      <c r="X115" s="8"/>
      <c r="Y115" s="8"/>
      <c r="Z115" s="8"/>
    </row>
    <row r="116" ht="15.7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8"/>
      <c r="W116" s="8"/>
      <c r="X116" s="8"/>
      <c r="Y116" s="8"/>
      <c r="Z116" s="8"/>
    </row>
    <row r="117" ht="15.7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8"/>
      <c r="W117" s="8"/>
      <c r="X117" s="8"/>
      <c r="Y117" s="8"/>
      <c r="Z117" s="8"/>
    </row>
    <row r="118" ht="15.7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8"/>
      <c r="W118" s="8"/>
      <c r="X118" s="8"/>
      <c r="Y118" s="8"/>
      <c r="Z118" s="8"/>
    </row>
    <row r="119" ht="15.7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8"/>
      <c r="W119" s="8"/>
      <c r="X119" s="8"/>
      <c r="Y119" s="8"/>
      <c r="Z119" s="8"/>
    </row>
    <row r="120" ht="15.7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8"/>
      <c r="W120" s="8"/>
      <c r="X120" s="8"/>
      <c r="Y120" s="8"/>
      <c r="Z120" s="8"/>
    </row>
    <row r="121" ht="15.7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8"/>
      <c r="W121" s="8"/>
      <c r="X121" s="8"/>
      <c r="Y121" s="8"/>
      <c r="Z121" s="8"/>
    </row>
    <row r="122" ht="15.7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8"/>
      <c r="W122" s="8"/>
      <c r="X122" s="8"/>
      <c r="Y122" s="8"/>
      <c r="Z122" s="8"/>
    </row>
    <row r="123" ht="15.7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8"/>
      <c r="W123" s="8"/>
      <c r="X123" s="8"/>
      <c r="Y123" s="8"/>
      <c r="Z123" s="8"/>
    </row>
    <row r="124" ht="15.7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8"/>
      <c r="W124" s="8"/>
      <c r="X124" s="8"/>
      <c r="Y124" s="8"/>
      <c r="Z124" s="8"/>
    </row>
    <row r="125" ht="15.7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8"/>
      <c r="W125" s="8"/>
      <c r="X125" s="8"/>
      <c r="Y125" s="8"/>
      <c r="Z125" s="8"/>
    </row>
    <row r="126" ht="15.7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8"/>
      <c r="W126" s="8"/>
      <c r="X126" s="8"/>
      <c r="Y126" s="8"/>
      <c r="Z126" s="8"/>
    </row>
    <row r="127" ht="15.7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8"/>
      <c r="W127" s="8"/>
      <c r="X127" s="8"/>
      <c r="Y127" s="8"/>
      <c r="Z127" s="8"/>
    </row>
    <row r="128" ht="15.7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8"/>
      <c r="W128" s="8"/>
      <c r="X128" s="8"/>
      <c r="Y128" s="8"/>
      <c r="Z128" s="8"/>
    </row>
    <row r="129" ht="15.7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8"/>
      <c r="W129" s="8"/>
      <c r="X129" s="8"/>
      <c r="Y129" s="8"/>
      <c r="Z129" s="8"/>
    </row>
    <row r="130" ht="15.7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8"/>
      <c r="W130" s="8"/>
      <c r="X130" s="8"/>
      <c r="Y130" s="8"/>
      <c r="Z130" s="8"/>
    </row>
    <row r="131" ht="15.7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8"/>
      <c r="W131" s="8"/>
      <c r="X131" s="8"/>
      <c r="Y131" s="8"/>
      <c r="Z131" s="8"/>
    </row>
    <row r="132" ht="15.7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8"/>
      <c r="W132" s="8"/>
      <c r="X132" s="8"/>
      <c r="Y132" s="8"/>
      <c r="Z132" s="8"/>
    </row>
    <row r="133" ht="15.7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8"/>
      <c r="W133" s="8"/>
      <c r="X133" s="8"/>
      <c r="Y133" s="8"/>
      <c r="Z133" s="8"/>
    </row>
    <row r="134" ht="15.7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8"/>
      <c r="W134" s="8"/>
      <c r="X134" s="8"/>
      <c r="Y134" s="8"/>
      <c r="Z134" s="8"/>
    </row>
    <row r="135" ht="15.7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8"/>
      <c r="W135" s="8"/>
      <c r="X135" s="8"/>
      <c r="Y135" s="8"/>
      <c r="Z135" s="8"/>
    </row>
    <row r="136" ht="15.7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8"/>
      <c r="W136" s="8"/>
      <c r="X136" s="8"/>
      <c r="Y136" s="8"/>
      <c r="Z136" s="8"/>
    </row>
    <row r="137" ht="15.7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8"/>
      <c r="W137" s="8"/>
      <c r="X137" s="8"/>
      <c r="Y137" s="8"/>
      <c r="Z137" s="8"/>
    </row>
    <row r="138" ht="15.7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8"/>
      <c r="W138" s="8"/>
      <c r="X138" s="8"/>
      <c r="Y138" s="8"/>
      <c r="Z138" s="8"/>
    </row>
    <row r="139" ht="15.7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8"/>
      <c r="W139" s="8"/>
      <c r="X139" s="8"/>
      <c r="Y139" s="8"/>
      <c r="Z139" s="8"/>
    </row>
    <row r="140" ht="15.7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8"/>
      <c r="W140" s="8"/>
      <c r="X140" s="8"/>
      <c r="Y140" s="8"/>
      <c r="Z140" s="8"/>
    </row>
    <row r="141" ht="15.7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8"/>
      <c r="W141" s="8"/>
      <c r="X141" s="8"/>
      <c r="Y141" s="8"/>
      <c r="Z141" s="8"/>
    </row>
    <row r="142" ht="15.7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8"/>
      <c r="W142" s="8"/>
      <c r="X142" s="8"/>
      <c r="Y142" s="8"/>
      <c r="Z142" s="8"/>
    </row>
    <row r="143" ht="15.7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8"/>
      <c r="W143" s="8"/>
      <c r="X143" s="8"/>
      <c r="Y143" s="8"/>
      <c r="Z143" s="8"/>
    </row>
    <row r="144" ht="15.7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8"/>
      <c r="W144" s="8"/>
      <c r="X144" s="8"/>
      <c r="Y144" s="8"/>
      <c r="Z144" s="8"/>
    </row>
    <row r="145" ht="15.7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8"/>
      <c r="W145" s="8"/>
      <c r="X145" s="8"/>
      <c r="Y145" s="8"/>
      <c r="Z145" s="8"/>
    </row>
    <row r="146" ht="15.7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8"/>
      <c r="W146" s="8"/>
      <c r="X146" s="8"/>
      <c r="Y146" s="8"/>
      <c r="Z146" s="8"/>
    </row>
    <row r="147" ht="15.7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8"/>
      <c r="W147" s="8"/>
      <c r="X147" s="8"/>
      <c r="Y147" s="8"/>
      <c r="Z147" s="8"/>
    </row>
    <row r="148" ht="15.7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8"/>
      <c r="W148" s="8"/>
      <c r="X148" s="8"/>
      <c r="Y148" s="8"/>
      <c r="Z148" s="8"/>
    </row>
    <row r="149" ht="15.7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8"/>
      <c r="W149" s="8"/>
      <c r="X149" s="8"/>
      <c r="Y149" s="8"/>
      <c r="Z149" s="8"/>
    </row>
    <row r="150" ht="15.7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8"/>
      <c r="W150" s="8"/>
      <c r="X150" s="8"/>
      <c r="Y150" s="8"/>
      <c r="Z150" s="8"/>
    </row>
    <row r="151" ht="15.7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8"/>
      <c r="W151" s="8"/>
      <c r="X151" s="8"/>
      <c r="Y151" s="8"/>
      <c r="Z151" s="8"/>
    </row>
    <row r="152" ht="15.7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8"/>
      <c r="W152" s="8"/>
      <c r="X152" s="8"/>
      <c r="Y152" s="8"/>
      <c r="Z152" s="8"/>
    </row>
    <row r="153" ht="15.7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8"/>
      <c r="W153" s="8"/>
      <c r="X153" s="8"/>
      <c r="Y153" s="8"/>
      <c r="Z153" s="8"/>
    </row>
    <row r="154" ht="15.7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8"/>
      <c r="W154" s="8"/>
      <c r="X154" s="8"/>
      <c r="Y154" s="8"/>
      <c r="Z154" s="8"/>
    </row>
    <row r="155" ht="15.7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8"/>
      <c r="W155" s="8"/>
      <c r="X155" s="8"/>
      <c r="Y155" s="8"/>
      <c r="Z155" s="8"/>
    </row>
    <row r="156" ht="15.7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8"/>
      <c r="W156" s="8"/>
      <c r="X156" s="8"/>
      <c r="Y156" s="8"/>
      <c r="Z156" s="8"/>
    </row>
    <row r="157" ht="15.7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8"/>
      <c r="W157" s="8"/>
      <c r="X157" s="8"/>
      <c r="Y157" s="8"/>
      <c r="Z157" s="8"/>
    </row>
    <row r="158" ht="15.7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8"/>
      <c r="W158" s="8"/>
      <c r="X158" s="8"/>
      <c r="Y158" s="8"/>
      <c r="Z158" s="8"/>
    </row>
    <row r="159" ht="15.7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8"/>
      <c r="W159" s="8"/>
      <c r="X159" s="8"/>
      <c r="Y159" s="8"/>
      <c r="Z159" s="8"/>
    </row>
    <row r="160" ht="15.7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8"/>
      <c r="W160" s="8"/>
      <c r="X160" s="8"/>
      <c r="Y160" s="8"/>
      <c r="Z160" s="8"/>
    </row>
    <row r="161" ht="15.7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8"/>
      <c r="W161" s="8"/>
      <c r="X161" s="8"/>
      <c r="Y161" s="8"/>
      <c r="Z161" s="8"/>
    </row>
    <row r="162" ht="15.7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8"/>
      <c r="W162" s="8"/>
      <c r="X162" s="8"/>
      <c r="Y162" s="8"/>
      <c r="Z162" s="8"/>
    </row>
    <row r="163" ht="15.7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8"/>
      <c r="W163" s="8"/>
      <c r="X163" s="8"/>
      <c r="Y163" s="8"/>
      <c r="Z163" s="8"/>
    </row>
    <row r="164" ht="15.7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8"/>
      <c r="W164" s="8"/>
      <c r="X164" s="8"/>
      <c r="Y164" s="8"/>
      <c r="Z164" s="8"/>
    </row>
    <row r="165" ht="15.7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8"/>
      <c r="W165" s="8"/>
      <c r="X165" s="8"/>
      <c r="Y165" s="8"/>
      <c r="Z165" s="8"/>
    </row>
    <row r="166" ht="15.7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8"/>
      <c r="W166" s="8"/>
      <c r="X166" s="8"/>
      <c r="Y166" s="8"/>
      <c r="Z166" s="8"/>
    </row>
    <row r="167" ht="15.7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8"/>
      <c r="W167" s="8"/>
      <c r="X167" s="8"/>
      <c r="Y167" s="8"/>
      <c r="Z167" s="8"/>
    </row>
    <row r="168" ht="15.7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8"/>
      <c r="W168" s="8"/>
      <c r="X168" s="8"/>
      <c r="Y168" s="8"/>
      <c r="Z168" s="8"/>
    </row>
    <row r="169" ht="15.7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8"/>
      <c r="W169" s="8"/>
      <c r="X169" s="8"/>
      <c r="Y169" s="8"/>
      <c r="Z169" s="8"/>
    </row>
    <row r="170" ht="15.7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8"/>
      <c r="W170" s="8"/>
      <c r="X170" s="8"/>
      <c r="Y170" s="8"/>
      <c r="Z170" s="8"/>
    </row>
    <row r="171" ht="15.7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8"/>
      <c r="W171" s="8"/>
      <c r="X171" s="8"/>
      <c r="Y171" s="8"/>
      <c r="Z171" s="8"/>
    </row>
    <row r="172" ht="15.7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8"/>
      <c r="W172" s="8"/>
      <c r="X172" s="8"/>
      <c r="Y172" s="8"/>
      <c r="Z172" s="8"/>
    </row>
    <row r="173" ht="15.7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8"/>
      <c r="W173" s="8"/>
      <c r="X173" s="8"/>
      <c r="Y173" s="8"/>
      <c r="Z173" s="8"/>
    </row>
    <row r="174" ht="15.7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8"/>
      <c r="W174" s="8"/>
      <c r="X174" s="8"/>
      <c r="Y174" s="8"/>
      <c r="Z174" s="8"/>
    </row>
    <row r="175" ht="15.7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8"/>
      <c r="W175" s="8"/>
      <c r="X175" s="8"/>
      <c r="Y175" s="8"/>
      <c r="Z175" s="8"/>
    </row>
    <row r="176" ht="15.7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8"/>
      <c r="W176" s="8"/>
      <c r="X176" s="8"/>
      <c r="Y176" s="8"/>
      <c r="Z176" s="8"/>
    </row>
    <row r="177" ht="15.7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8"/>
      <c r="W177" s="8"/>
      <c r="X177" s="8"/>
      <c r="Y177" s="8"/>
      <c r="Z177" s="8"/>
    </row>
    <row r="178" ht="15.7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8"/>
      <c r="W178" s="8"/>
      <c r="X178" s="8"/>
      <c r="Y178" s="8"/>
      <c r="Z178" s="8"/>
    </row>
    <row r="179" ht="15.7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8"/>
      <c r="W179" s="8"/>
      <c r="X179" s="8"/>
      <c r="Y179" s="8"/>
      <c r="Z179" s="8"/>
    </row>
    <row r="180" ht="15.7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8"/>
      <c r="W180" s="8"/>
      <c r="X180" s="8"/>
      <c r="Y180" s="8"/>
      <c r="Z180" s="8"/>
    </row>
    <row r="181" ht="15.7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8"/>
      <c r="W181" s="8"/>
      <c r="X181" s="8"/>
      <c r="Y181" s="8"/>
      <c r="Z181" s="8"/>
    </row>
    <row r="182" ht="15.7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8"/>
      <c r="W182" s="8"/>
      <c r="X182" s="8"/>
      <c r="Y182" s="8"/>
      <c r="Z182" s="8"/>
    </row>
    <row r="183" ht="15.7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8"/>
      <c r="W183" s="8"/>
      <c r="X183" s="8"/>
      <c r="Y183" s="8"/>
      <c r="Z183" s="8"/>
    </row>
    <row r="184" ht="15.7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8"/>
      <c r="W184" s="8"/>
      <c r="X184" s="8"/>
      <c r="Y184" s="8"/>
      <c r="Z184" s="8"/>
    </row>
    <row r="185" ht="15.7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8"/>
      <c r="W185" s="8"/>
      <c r="X185" s="8"/>
      <c r="Y185" s="8"/>
      <c r="Z185" s="8"/>
    </row>
    <row r="186" ht="15.7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8"/>
      <c r="W186" s="8"/>
      <c r="X186" s="8"/>
      <c r="Y186" s="8"/>
      <c r="Z186" s="8"/>
    </row>
    <row r="187" ht="15.7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8"/>
      <c r="W187" s="8"/>
      <c r="X187" s="8"/>
      <c r="Y187" s="8"/>
      <c r="Z187" s="8"/>
    </row>
    <row r="188" ht="15.7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8"/>
      <c r="W188" s="8"/>
      <c r="X188" s="8"/>
      <c r="Y188" s="8"/>
      <c r="Z188" s="8"/>
    </row>
    <row r="189" ht="15.7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8"/>
      <c r="W189" s="8"/>
      <c r="X189" s="8"/>
      <c r="Y189" s="8"/>
      <c r="Z189" s="8"/>
    </row>
    <row r="190" ht="15.7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8"/>
      <c r="W190" s="8"/>
      <c r="X190" s="8"/>
      <c r="Y190" s="8"/>
      <c r="Z190" s="8"/>
    </row>
    <row r="191" ht="15.7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8"/>
      <c r="W191" s="8"/>
      <c r="X191" s="8"/>
      <c r="Y191" s="8"/>
      <c r="Z191" s="8"/>
    </row>
    <row r="192" ht="15.7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8"/>
      <c r="W192" s="8"/>
      <c r="X192" s="8"/>
      <c r="Y192" s="8"/>
      <c r="Z192" s="8"/>
    </row>
    <row r="193" ht="15.7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8"/>
      <c r="W193" s="8"/>
      <c r="X193" s="8"/>
      <c r="Y193" s="8"/>
      <c r="Z193" s="8"/>
    </row>
    <row r="194" ht="15.7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8"/>
      <c r="W194" s="8"/>
      <c r="X194" s="8"/>
      <c r="Y194" s="8"/>
      <c r="Z194" s="8"/>
    </row>
    <row r="195" ht="15.7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8"/>
      <c r="W195" s="8"/>
      <c r="X195" s="8"/>
      <c r="Y195" s="8"/>
      <c r="Z195" s="8"/>
    </row>
    <row r="196" ht="15.7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8"/>
      <c r="W196" s="8"/>
      <c r="X196" s="8"/>
      <c r="Y196" s="8"/>
      <c r="Z196" s="8"/>
    </row>
    <row r="197" ht="15.7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8"/>
      <c r="W197" s="8"/>
      <c r="X197" s="8"/>
      <c r="Y197" s="8"/>
      <c r="Z197" s="8"/>
    </row>
    <row r="198" ht="15.7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8"/>
      <c r="W198" s="8"/>
      <c r="X198" s="8"/>
      <c r="Y198" s="8"/>
      <c r="Z198" s="8"/>
    </row>
    <row r="199" ht="15.7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8"/>
      <c r="W199" s="8"/>
      <c r="X199" s="8"/>
      <c r="Y199" s="8"/>
      <c r="Z199" s="8"/>
    </row>
    <row r="200" ht="15.7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8"/>
      <c r="W200" s="8"/>
      <c r="X200" s="8"/>
      <c r="Y200" s="8"/>
      <c r="Z200" s="8"/>
    </row>
    <row r="201" ht="15.7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8"/>
      <c r="W201" s="8"/>
      <c r="X201" s="8"/>
      <c r="Y201" s="8"/>
      <c r="Z201" s="8"/>
    </row>
    <row r="202" ht="15.7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8"/>
      <c r="W202" s="8"/>
      <c r="X202" s="8"/>
      <c r="Y202" s="8"/>
      <c r="Z202" s="8"/>
    </row>
    <row r="203" ht="15.7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8"/>
      <c r="W203" s="8"/>
      <c r="X203" s="8"/>
      <c r="Y203" s="8"/>
      <c r="Z203" s="8"/>
    </row>
    <row r="204" ht="15.7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8"/>
      <c r="W204" s="8"/>
      <c r="X204" s="8"/>
      <c r="Y204" s="8"/>
      <c r="Z204" s="8"/>
    </row>
    <row r="205" ht="15.7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8"/>
      <c r="W205" s="8"/>
      <c r="X205" s="8"/>
      <c r="Y205" s="8"/>
      <c r="Z205" s="8"/>
    </row>
    <row r="206" ht="15.7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8"/>
      <c r="W206" s="8"/>
      <c r="X206" s="8"/>
      <c r="Y206" s="8"/>
      <c r="Z206" s="8"/>
    </row>
    <row r="207" ht="15.7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8"/>
      <c r="W207" s="8"/>
      <c r="X207" s="8"/>
      <c r="Y207" s="8"/>
      <c r="Z207" s="8"/>
    </row>
    <row r="208" ht="15.7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8"/>
      <c r="W208" s="8"/>
      <c r="X208" s="8"/>
      <c r="Y208" s="8"/>
      <c r="Z208" s="8"/>
    </row>
    <row r="209" ht="15.7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8"/>
      <c r="W209" s="8"/>
      <c r="X209" s="8"/>
      <c r="Y209" s="8"/>
      <c r="Z209" s="8"/>
    </row>
    <row r="210" ht="15.7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8"/>
      <c r="W210" s="8"/>
      <c r="X210" s="8"/>
      <c r="Y210" s="8"/>
      <c r="Z210" s="8"/>
    </row>
    <row r="211" ht="15.7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8"/>
      <c r="W211" s="8"/>
      <c r="X211" s="8"/>
      <c r="Y211" s="8"/>
      <c r="Z211" s="8"/>
    </row>
    <row r="212" ht="15.7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8"/>
      <c r="W212" s="8"/>
      <c r="X212" s="8"/>
      <c r="Y212" s="8"/>
      <c r="Z212" s="8"/>
    </row>
    <row r="213" ht="15.7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8"/>
      <c r="W213" s="8"/>
      <c r="X213" s="8"/>
      <c r="Y213" s="8"/>
      <c r="Z213" s="8"/>
    </row>
    <row r="214" ht="15.7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8"/>
      <c r="W214" s="8"/>
      <c r="X214" s="8"/>
      <c r="Y214" s="8"/>
      <c r="Z214" s="8"/>
    </row>
    <row r="215" ht="15.7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8"/>
      <c r="W215" s="8"/>
      <c r="X215" s="8"/>
      <c r="Y215" s="8"/>
      <c r="Z215" s="8"/>
    </row>
    <row r="216" ht="15.7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8"/>
      <c r="W216" s="8"/>
      <c r="X216" s="8"/>
      <c r="Y216" s="8"/>
      <c r="Z216" s="8"/>
    </row>
    <row r="217" ht="15.7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8"/>
      <c r="W217" s="8"/>
      <c r="X217" s="8"/>
      <c r="Y217" s="8"/>
      <c r="Z217" s="8"/>
    </row>
    <row r="218" ht="15.7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8"/>
      <c r="W218" s="8"/>
      <c r="X218" s="8"/>
      <c r="Y218" s="8"/>
      <c r="Z218" s="8"/>
    </row>
    <row r="219" ht="15.7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8"/>
      <c r="W219" s="8"/>
      <c r="X219" s="8"/>
      <c r="Y219" s="8"/>
      <c r="Z219" s="8"/>
    </row>
    <row r="220" ht="15.7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8"/>
      <c r="W220" s="8"/>
      <c r="X220" s="8"/>
      <c r="Y220" s="8"/>
      <c r="Z220" s="8"/>
    </row>
    <row r="221" ht="15.7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8"/>
      <c r="W221" s="8"/>
      <c r="X221" s="8"/>
      <c r="Y221" s="8"/>
      <c r="Z221" s="8"/>
    </row>
    <row r="222" ht="15.7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8"/>
      <c r="W222" s="8"/>
      <c r="X222" s="8"/>
      <c r="Y222" s="8"/>
      <c r="Z222" s="8"/>
    </row>
    <row r="223" ht="15.7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8"/>
      <c r="W223" s="8"/>
      <c r="X223" s="8"/>
      <c r="Y223" s="8"/>
      <c r="Z223" s="8"/>
    </row>
    <row r="224" ht="15.7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8"/>
      <c r="W224" s="8"/>
      <c r="X224" s="8"/>
      <c r="Y224" s="8"/>
      <c r="Z224" s="8"/>
    </row>
    <row r="225" ht="15.7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8"/>
      <c r="W225" s="8"/>
      <c r="X225" s="8"/>
      <c r="Y225" s="8"/>
      <c r="Z225" s="8"/>
    </row>
    <row r="226" ht="15.7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8"/>
      <c r="W226" s="8"/>
      <c r="X226" s="8"/>
      <c r="Y226" s="8"/>
      <c r="Z226" s="8"/>
    </row>
    <row r="227" ht="15.7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8"/>
      <c r="W227" s="8"/>
      <c r="X227" s="8"/>
      <c r="Y227" s="8"/>
      <c r="Z227" s="8"/>
    </row>
    <row r="228" ht="15.7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8"/>
      <c r="W228" s="8"/>
      <c r="X228" s="8"/>
      <c r="Y228" s="8"/>
      <c r="Z228" s="8"/>
    </row>
    <row r="229" ht="15.7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8"/>
      <c r="W229" s="8"/>
      <c r="X229" s="8"/>
      <c r="Y229" s="8"/>
      <c r="Z229" s="8"/>
    </row>
    <row r="230" ht="15.7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8"/>
      <c r="W230" s="8"/>
      <c r="X230" s="8"/>
      <c r="Y230" s="8"/>
      <c r="Z230" s="8"/>
    </row>
    <row r="231" ht="15.7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8"/>
      <c r="W231" s="8"/>
      <c r="X231" s="8"/>
      <c r="Y231" s="8"/>
      <c r="Z231" s="8"/>
    </row>
    <row r="232" ht="15.7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8"/>
      <c r="W232" s="8"/>
      <c r="X232" s="8"/>
      <c r="Y232" s="8"/>
      <c r="Z232" s="8"/>
    </row>
    <row r="233" ht="15.7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8"/>
      <c r="W233" s="8"/>
      <c r="X233" s="8"/>
      <c r="Y233" s="8"/>
      <c r="Z233" s="8"/>
    </row>
    <row r="234" ht="15.7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8"/>
      <c r="W234" s="8"/>
      <c r="X234" s="8"/>
      <c r="Y234" s="8"/>
      <c r="Z234" s="8"/>
    </row>
    <row r="235" ht="15.7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8"/>
      <c r="W235" s="8"/>
      <c r="X235" s="8"/>
      <c r="Y235" s="8"/>
      <c r="Z235" s="8"/>
    </row>
    <row r="236" ht="15.7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8"/>
      <c r="W236" s="8"/>
      <c r="X236" s="8"/>
      <c r="Y236" s="8"/>
      <c r="Z236" s="8"/>
    </row>
    <row r="237" ht="15.7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8"/>
      <c r="W237" s="8"/>
      <c r="X237" s="8"/>
      <c r="Y237" s="8"/>
      <c r="Z237" s="8"/>
    </row>
    <row r="238" ht="15.7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8"/>
      <c r="W238" s="8"/>
      <c r="X238" s="8"/>
      <c r="Y238" s="8"/>
      <c r="Z238" s="8"/>
    </row>
    <row r="239" ht="15.7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8"/>
      <c r="W239" s="8"/>
      <c r="X239" s="8"/>
      <c r="Y239" s="8"/>
      <c r="Z239" s="8"/>
    </row>
    <row r="240" ht="15.7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8"/>
      <c r="W240" s="8"/>
      <c r="X240" s="8"/>
      <c r="Y240" s="8"/>
      <c r="Z240" s="8"/>
    </row>
    <row r="241" ht="15.7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8"/>
      <c r="W241" s="8"/>
      <c r="X241" s="8"/>
      <c r="Y241" s="8"/>
      <c r="Z241" s="8"/>
    </row>
    <row r="242" ht="15.7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8"/>
      <c r="W242" s="8"/>
      <c r="X242" s="8"/>
      <c r="Y242" s="8"/>
      <c r="Z242" s="8"/>
    </row>
    <row r="243" ht="15.7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8"/>
      <c r="W243" s="8"/>
      <c r="X243" s="8"/>
      <c r="Y243" s="8"/>
      <c r="Z243" s="8"/>
    </row>
    <row r="244" ht="15.7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8"/>
      <c r="W244" s="8"/>
      <c r="X244" s="8"/>
      <c r="Y244" s="8"/>
      <c r="Z244" s="8"/>
    </row>
    <row r="245" ht="15.7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8"/>
      <c r="W245" s="8"/>
      <c r="X245" s="8"/>
      <c r="Y245" s="8"/>
      <c r="Z245" s="8"/>
    </row>
    <row r="246" ht="15.7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8"/>
      <c r="W246" s="8"/>
      <c r="X246" s="8"/>
      <c r="Y246" s="8"/>
      <c r="Z246" s="8"/>
    </row>
    <row r="247" ht="15.7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8"/>
      <c r="W247" s="8"/>
      <c r="X247" s="8"/>
      <c r="Y247" s="8"/>
      <c r="Z247" s="8"/>
    </row>
    <row r="248" ht="15.7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8"/>
      <c r="W248" s="8"/>
      <c r="X248" s="8"/>
      <c r="Y248" s="8"/>
      <c r="Z248" s="8"/>
    </row>
    <row r="249" ht="15.7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8"/>
      <c r="W249" s="8"/>
      <c r="X249" s="8"/>
      <c r="Y249" s="8"/>
      <c r="Z249" s="8"/>
    </row>
    <row r="250" ht="15.7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8"/>
      <c r="W250" s="8"/>
      <c r="X250" s="8"/>
      <c r="Y250" s="8"/>
      <c r="Z250" s="8"/>
    </row>
    <row r="251" ht="15.7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8"/>
      <c r="W251" s="8"/>
      <c r="X251" s="8"/>
      <c r="Y251" s="8"/>
      <c r="Z251" s="8"/>
    </row>
    <row r="252" ht="15.7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8"/>
      <c r="W252" s="8"/>
      <c r="X252" s="8"/>
      <c r="Y252" s="8"/>
      <c r="Z252" s="8"/>
    </row>
    <row r="253" ht="15.7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8"/>
      <c r="W253" s="8"/>
      <c r="X253" s="8"/>
      <c r="Y253" s="8"/>
      <c r="Z253" s="8"/>
    </row>
    <row r="254" ht="15.7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8"/>
      <c r="W254" s="8"/>
      <c r="X254" s="8"/>
      <c r="Y254" s="8"/>
      <c r="Z254" s="8"/>
    </row>
    <row r="255" ht="15.7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8"/>
      <c r="W255" s="8"/>
      <c r="X255" s="8"/>
      <c r="Y255" s="8"/>
      <c r="Z255" s="8"/>
    </row>
    <row r="256" ht="15.7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8"/>
      <c r="W256" s="8"/>
      <c r="X256" s="8"/>
      <c r="Y256" s="8"/>
      <c r="Z256" s="8"/>
    </row>
    <row r="257" ht="15.7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8"/>
      <c r="W257" s="8"/>
      <c r="X257" s="8"/>
      <c r="Y257" s="8"/>
      <c r="Z257" s="8"/>
    </row>
    <row r="258" ht="15.7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8"/>
      <c r="W258" s="8"/>
      <c r="X258" s="8"/>
      <c r="Y258" s="8"/>
      <c r="Z258" s="8"/>
    </row>
    <row r="259" ht="15.7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8"/>
      <c r="W259" s="8"/>
      <c r="X259" s="8"/>
      <c r="Y259" s="8"/>
      <c r="Z259" s="8"/>
    </row>
    <row r="260" ht="15.7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8"/>
      <c r="W260" s="8"/>
      <c r="X260" s="8"/>
      <c r="Y260" s="8"/>
      <c r="Z260" s="8"/>
    </row>
    <row r="261" ht="15.7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8"/>
      <c r="W261" s="8"/>
      <c r="X261" s="8"/>
      <c r="Y261" s="8"/>
      <c r="Z261" s="8"/>
    </row>
    <row r="262" ht="15.7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8"/>
      <c r="W262" s="8"/>
      <c r="X262" s="8"/>
      <c r="Y262" s="8"/>
      <c r="Z262" s="8"/>
    </row>
    <row r="263" ht="15.7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8"/>
      <c r="W263" s="8"/>
      <c r="X263" s="8"/>
      <c r="Y263" s="8"/>
      <c r="Z263" s="8"/>
    </row>
    <row r="264" ht="15.7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8"/>
      <c r="W264" s="8"/>
      <c r="X264" s="8"/>
      <c r="Y264" s="8"/>
      <c r="Z264" s="8"/>
    </row>
    <row r="265" ht="15.7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8"/>
      <c r="W265" s="8"/>
      <c r="X265" s="8"/>
      <c r="Y265" s="8"/>
      <c r="Z265" s="8"/>
    </row>
    <row r="266" ht="15.7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8"/>
      <c r="W266" s="8"/>
      <c r="X266" s="8"/>
      <c r="Y266" s="8"/>
      <c r="Z266" s="8"/>
    </row>
    <row r="267" ht="15.7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2014-01-25T02:50:16Z</dcterms:created>
  <dc:creator>admin</dc:creator>
</cp:coreProperties>
</file>